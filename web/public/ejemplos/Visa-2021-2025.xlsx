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uis D Peñaranda\Downloads\"/>
    </mc:Choice>
  </mc:AlternateContent>
  <xr:revisionPtr revIDLastSave="0" documentId="13_ncr:1_{9FA2A91E-0ED1-41B9-84B1-0A8CD6D26973}" xr6:coauthVersionLast="47" xr6:coauthVersionMax="47" xr10:uidLastSave="{00000000-0000-0000-0000-000000000000}"/>
  <bookViews>
    <workbookView xWindow="-108" yWindow="-108" windowWidth="23256" windowHeight="13176" firstSheet="1" activeTab="6" xr2:uid="{00000000-000D-0000-FFFF-FFFF00000000}"/>
  </bookViews>
  <sheets>
    <sheet name="Balance" sheetId="7" r:id="rId1"/>
    <sheet name="PyG" sheetId="8" r:id="rId2"/>
    <sheet name="Supuestos FCL" sheetId="1" state="hidden" r:id="rId3"/>
    <sheet name="FCL Histórico" sheetId="2" r:id="rId4"/>
    <sheet name="FCL Proyectado" sheetId="3" r:id="rId5"/>
    <sheet name="Supuestos Apalancamiento" sheetId="4" r:id="rId6"/>
    <sheet name="Apalancamiento GAO-GAF" sheetId="5" r:id="rId7"/>
    <sheet name="UPA Deuda vs Patrimonio" sheetId="6"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5" l="1"/>
  <c r="B10" i="5"/>
  <c r="B20" i="5" s="1"/>
  <c r="B46" i="5" s="1"/>
  <c r="B8" i="5"/>
  <c r="B19" i="5" s="1"/>
  <c r="B7" i="5"/>
  <c r="B18" i="5" s="1"/>
  <c r="B6" i="5"/>
  <c r="B17" i="5" s="1"/>
  <c r="B24" i="5" s="1"/>
  <c r="B5" i="5"/>
  <c r="B34" i="3"/>
  <c r="G23" i="3"/>
  <c r="F23" i="3"/>
  <c r="E23" i="3"/>
  <c r="D23" i="3"/>
  <c r="C23" i="3"/>
  <c r="C22" i="3"/>
  <c r="C34" i="3" s="1"/>
  <c r="B22" i="3"/>
  <c r="B14" i="3"/>
  <c r="B13" i="3"/>
  <c r="B12" i="3"/>
  <c r="B39" i="1"/>
  <c r="B38" i="1"/>
  <c r="B19" i="2"/>
  <c r="B27" i="1"/>
  <c r="B14" i="2"/>
  <c r="B15" i="2" s="1"/>
  <c r="B22" i="1"/>
  <c r="B23" i="1" s="1"/>
  <c r="B41" i="1" s="1"/>
  <c r="B9" i="2"/>
  <c r="B11" i="3" s="1"/>
  <c r="B32" i="3" s="1"/>
  <c r="B17" i="1"/>
  <c r="B19" i="1"/>
  <c r="B11" i="2"/>
  <c r="B7" i="2"/>
  <c r="B10" i="3" s="1"/>
  <c r="B24" i="3" s="1"/>
  <c r="B15" i="1"/>
  <c r="C57" i="2"/>
  <c r="B57" i="2"/>
  <c r="B49" i="2"/>
  <c r="L21" i="7"/>
  <c r="M20" i="7"/>
  <c r="M21" i="7"/>
  <c r="O21" i="7"/>
  <c r="N21" i="7"/>
  <c r="O20" i="7"/>
  <c r="N20" i="7"/>
  <c r="L20" i="7"/>
  <c r="K47" i="8"/>
  <c r="J47" i="8"/>
  <c r="I47" i="8"/>
  <c r="H47" i="8"/>
  <c r="G47" i="8"/>
  <c r="AA47" i="8" s="1"/>
  <c r="AA46" i="8"/>
  <c r="K46" i="8"/>
  <c r="J46" i="8"/>
  <c r="I46" i="8"/>
  <c r="H46" i="8"/>
  <c r="AO45" i="8"/>
  <c r="AN45" i="8"/>
  <c r="AM45" i="8"/>
  <c r="AL45" i="8"/>
  <c r="AJ45" i="8"/>
  <c r="AI45" i="8"/>
  <c r="AH45" i="8"/>
  <c r="AG45" i="8"/>
  <c r="AE45" i="8"/>
  <c r="AD45" i="8"/>
  <c r="AC45" i="8"/>
  <c r="AB45" i="8"/>
  <c r="AA45" i="8"/>
  <c r="AA43" i="8"/>
  <c r="K43" i="8"/>
  <c r="J43" i="8"/>
  <c r="I43" i="8"/>
  <c r="H43" i="8"/>
  <c r="AO42" i="8"/>
  <c r="AN42" i="8"/>
  <c r="AM42" i="8"/>
  <c r="AL42" i="8"/>
  <c r="AJ42" i="8"/>
  <c r="AI42" i="8"/>
  <c r="AH42" i="8"/>
  <c r="AG42" i="8"/>
  <c r="AE42" i="8"/>
  <c r="AD42" i="8"/>
  <c r="AC42" i="8"/>
  <c r="AB42" i="8"/>
  <c r="AA42" i="8"/>
  <c r="AO41" i="8"/>
  <c r="AN41" i="8"/>
  <c r="AM41" i="8"/>
  <c r="AL41" i="8"/>
  <c r="AJ41" i="8"/>
  <c r="AI41" i="8"/>
  <c r="AH41" i="8"/>
  <c r="AG41" i="8"/>
  <c r="AE41" i="8"/>
  <c r="AD41" i="8"/>
  <c r="AC41" i="8"/>
  <c r="AB41" i="8"/>
  <c r="AA41" i="8"/>
  <c r="AO40" i="8"/>
  <c r="AN40" i="8"/>
  <c r="AM40" i="8"/>
  <c r="AL40" i="8"/>
  <c r="AJ40" i="8"/>
  <c r="AI40" i="8"/>
  <c r="AH40" i="8"/>
  <c r="AG40" i="8"/>
  <c r="AE40" i="8"/>
  <c r="AD40" i="8"/>
  <c r="AC40" i="8"/>
  <c r="AB40" i="8"/>
  <c r="AA40" i="8"/>
  <c r="AA39" i="8"/>
  <c r="K39" i="8"/>
  <c r="J39" i="8"/>
  <c r="I39" i="8"/>
  <c r="H39" i="8"/>
  <c r="AO38" i="8"/>
  <c r="AN38" i="8"/>
  <c r="AM38" i="8"/>
  <c r="AL38" i="8"/>
  <c r="AJ38" i="8"/>
  <c r="AI38" i="8"/>
  <c r="AH38" i="8"/>
  <c r="AG38" i="8"/>
  <c r="AE38" i="8"/>
  <c r="AD38" i="8"/>
  <c r="AC38" i="8"/>
  <c r="AB38" i="8"/>
  <c r="AA38" i="8"/>
  <c r="AA37" i="8"/>
  <c r="K37" i="8"/>
  <c r="J37" i="8"/>
  <c r="I37" i="8"/>
  <c r="H37" i="8"/>
  <c r="AO36" i="8"/>
  <c r="AN36" i="8"/>
  <c r="AM36" i="8"/>
  <c r="AL36" i="8"/>
  <c r="AJ36" i="8"/>
  <c r="AI36" i="8"/>
  <c r="AH36" i="8"/>
  <c r="AG36" i="8"/>
  <c r="AE36" i="8"/>
  <c r="AD36" i="8"/>
  <c r="AC36" i="8"/>
  <c r="AB36" i="8"/>
  <c r="AA36" i="8"/>
  <c r="AO34" i="8"/>
  <c r="AN34" i="8"/>
  <c r="AM34" i="8"/>
  <c r="AL34" i="8"/>
  <c r="AJ34" i="8"/>
  <c r="AI34" i="8"/>
  <c r="AH34" i="8"/>
  <c r="AG34" i="8"/>
  <c r="AE34" i="8"/>
  <c r="AD34" i="8"/>
  <c r="AC34" i="8"/>
  <c r="AB34" i="8"/>
  <c r="AA34" i="8"/>
  <c r="AA32" i="8"/>
  <c r="AO30" i="8"/>
  <c r="AN30" i="8"/>
  <c r="AM30" i="8"/>
  <c r="AL30" i="8"/>
  <c r="AJ30" i="8"/>
  <c r="AI30" i="8"/>
  <c r="AH30" i="8"/>
  <c r="AG30" i="8"/>
  <c r="AE30" i="8"/>
  <c r="AD30" i="8"/>
  <c r="AC30" i="8"/>
  <c r="AB30" i="8"/>
  <c r="AA30" i="8"/>
  <c r="K29" i="8"/>
  <c r="J29" i="8"/>
  <c r="I29" i="8"/>
  <c r="H29" i="8"/>
  <c r="G29" i="8"/>
  <c r="AO28" i="8"/>
  <c r="AN28" i="8"/>
  <c r="AM28" i="8"/>
  <c r="AL28" i="8"/>
  <c r="AJ28" i="8"/>
  <c r="AI28" i="8"/>
  <c r="AH28" i="8"/>
  <c r="AG28" i="8"/>
  <c r="AE28" i="8"/>
  <c r="AD28" i="8"/>
  <c r="AC28" i="8"/>
  <c r="AB28" i="8"/>
  <c r="AA28" i="8"/>
  <c r="K27" i="8"/>
  <c r="J27" i="8"/>
  <c r="I27" i="8"/>
  <c r="H27" i="8"/>
  <c r="G27" i="8"/>
  <c r="AA27" i="8" s="1"/>
  <c r="AA26" i="8"/>
  <c r="K26" i="8"/>
  <c r="J26" i="8"/>
  <c r="I26" i="8"/>
  <c r="H26" i="8"/>
  <c r="AO25" i="8"/>
  <c r="AN25" i="8"/>
  <c r="AM25" i="8"/>
  <c r="AL25" i="8"/>
  <c r="AJ25" i="8"/>
  <c r="AI25" i="8"/>
  <c r="AH25" i="8"/>
  <c r="AG25" i="8"/>
  <c r="AE25" i="8"/>
  <c r="AD25" i="8"/>
  <c r="AC25" i="8"/>
  <c r="AB25" i="8"/>
  <c r="AA25" i="8"/>
  <c r="AO24" i="8"/>
  <c r="AN24" i="8"/>
  <c r="AM24" i="8"/>
  <c r="AL24" i="8"/>
  <c r="AJ24" i="8"/>
  <c r="AI24" i="8"/>
  <c r="AH24" i="8"/>
  <c r="AG24" i="8"/>
  <c r="AE24" i="8"/>
  <c r="AD24" i="8"/>
  <c r="AC24" i="8"/>
  <c r="AB24" i="8"/>
  <c r="AA24" i="8"/>
  <c r="AO23" i="8"/>
  <c r="AN23" i="8"/>
  <c r="AM23" i="8"/>
  <c r="AL23" i="8"/>
  <c r="AJ23" i="8"/>
  <c r="AI23" i="8"/>
  <c r="AH23" i="8"/>
  <c r="AG23" i="8"/>
  <c r="AE23" i="8"/>
  <c r="AD23" i="8"/>
  <c r="AC23" i="8"/>
  <c r="AB23" i="8"/>
  <c r="AA23" i="8"/>
  <c r="AO21" i="8"/>
  <c r="AN21" i="8"/>
  <c r="AM21" i="8"/>
  <c r="AL21" i="8"/>
  <c r="AJ21" i="8"/>
  <c r="AI21" i="8"/>
  <c r="AH21" i="8"/>
  <c r="AG21" i="8"/>
  <c r="AE21" i="8"/>
  <c r="AD21" i="8"/>
  <c r="AC21" i="8"/>
  <c r="AB21" i="8"/>
  <c r="AA21" i="8"/>
  <c r="AO20" i="8"/>
  <c r="AN20" i="8"/>
  <c r="AM20" i="8"/>
  <c r="AL20" i="8"/>
  <c r="AJ20" i="8"/>
  <c r="AI20" i="8"/>
  <c r="AH20" i="8"/>
  <c r="AG20" i="8"/>
  <c r="AE20" i="8"/>
  <c r="AD20" i="8"/>
  <c r="AC20" i="8"/>
  <c r="AB20" i="8"/>
  <c r="AA20" i="8"/>
  <c r="AO19" i="8"/>
  <c r="AN19" i="8"/>
  <c r="AM19" i="8"/>
  <c r="AL19" i="8"/>
  <c r="AJ19" i="8"/>
  <c r="AI19" i="8"/>
  <c r="AH19" i="8"/>
  <c r="AG19" i="8"/>
  <c r="AE19" i="8"/>
  <c r="AD19" i="8"/>
  <c r="AC19" i="8"/>
  <c r="AB19" i="8"/>
  <c r="AA19" i="8"/>
  <c r="AA18" i="8"/>
  <c r="K17" i="8"/>
  <c r="J17" i="8"/>
  <c r="J18" i="8" s="1"/>
  <c r="I17" i="8"/>
  <c r="I18" i="8" s="1"/>
  <c r="H17" i="8"/>
  <c r="H18" i="8" s="1"/>
  <c r="G17" i="8"/>
  <c r="AA17" i="8" s="1"/>
  <c r="AA15" i="8"/>
  <c r="AO13" i="8"/>
  <c r="AN13" i="8"/>
  <c r="AM13" i="8"/>
  <c r="AL13" i="8"/>
  <c r="AJ13" i="8"/>
  <c r="AI13" i="8"/>
  <c r="AH13" i="8"/>
  <c r="AG13" i="8"/>
  <c r="AE13" i="8"/>
  <c r="AD13" i="8"/>
  <c r="AC13" i="8"/>
  <c r="AB13" i="8"/>
  <c r="AA13" i="8"/>
  <c r="AO12" i="8"/>
  <c r="AN12" i="8"/>
  <c r="AM12" i="8"/>
  <c r="AL12" i="8"/>
  <c r="AJ12" i="8"/>
  <c r="AI12" i="8"/>
  <c r="AH12" i="8"/>
  <c r="AG12" i="8"/>
  <c r="AE12" i="8"/>
  <c r="AD12" i="8"/>
  <c r="AC12" i="8"/>
  <c r="AB12" i="8"/>
  <c r="AA12" i="8"/>
  <c r="AO11" i="8"/>
  <c r="AN11" i="8"/>
  <c r="AM11" i="8"/>
  <c r="AL11" i="8"/>
  <c r="AJ11" i="8"/>
  <c r="AI11" i="8"/>
  <c r="AH11" i="8"/>
  <c r="AG11" i="8"/>
  <c r="AE11" i="8"/>
  <c r="AD11" i="8"/>
  <c r="AC11" i="8"/>
  <c r="AB11" i="8"/>
  <c r="AA11" i="8"/>
  <c r="AA10" i="8"/>
  <c r="K10" i="8"/>
  <c r="J10" i="8"/>
  <c r="I10" i="8"/>
  <c r="H10" i="8"/>
  <c r="AO9" i="8"/>
  <c r="AN9" i="8"/>
  <c r="AM9" i="8"/>
  <c r="AL9" i="8"/>
  <c r="AJ9" i="8"/>
  <c r="AI9" i="8"/>
  <c r="AH9" i="8"/>
  <c r="AG9" i="8"/>
  <c r="AE9" i="8"/>
  <c r="AD9" i="8"/>
  <c r="AC9" i="8"/>
  <c r="AB9" i="8"/>
  <c r="AA9" i="8"/>
  <c r="AA7" i="8"/>
  <c r="K6" i="8"/>
  <c r="J6" i="8"/>
  <c r="I6" i="8"/>
  <c r="H6" i="8"/>
  <c r="G6" i="8"/>
  <c r="AO5" i="8"/>
  <c r="AN5" i="8"/>
  <c r="AM5" i="8"/>
  <c r="AL5" i="8"/>
  <c r="AJ5" i="8"/>
  <c r="AI5" i="8"/>
  <c r="AH5" i="8"/>
  <c r="AG5" i="8"/>
  <c r="AE5" i="8"/>
  <c r="AD5" i="8"/>
  <c r="AC5" i="8"/>
  <c r="AB5" i="8"/>
  <c r="AA5" i="8"/>
  <c r="AA4" i="8"/>
  <c r="K4" i="8"/>
  <c r="J4" i="8"/>
  <c r="I4" i="8"/>
  <c r="H4" i="8"/>
  <c r="AO3" i="8"/>
  <c r="AN3" i="8"/>
  <c r="AM3" i="8"/>
  <c r="AL3" i="8"/>
  <c r="AJ3" i="8"/>
  <c r="AI3" i="8"/>
  <c r="AH3" i="8"/>
  <c r="AG3" i="8"/>
  <c r="AE3" i="8"/>
  <c r="AD3" i="8"/>
  <c r="AC3" i="8"/>
  <c r="AB3" i="8"/>
  <c r="AA3" i="8"/>
  <c r="K68" i="7"/>
  <c r="J68" i="7"/>
  <c r="I68" i="7"/>
  <c r="H68" i="7"/>
  <c r="G68" i="7"/>
  <c r="AS65" i="7"/>
  <c r="AR65" i="7"/>
  <c r="AQ65" i="7"/>
  <c r="AP65" i="7"/>
  <c r="AN65" i="7"/>
  <c r="AM65" i="7"/>
  <c r="AL65" i="7"/>
  <c r="AK65" i="7"/>
  <c r="AS64" i="7"/>
  <c r="AR64" i="7"/>
  <c r="AQ64" i="7"/>
  <c r="AP64" i="7"/>
  <c r="AN64" i="7"/>
  <c r="AM64" i="7"/>
  <c r="AL64" i="7"/>
  <c r="AK64" i="7"/>
  <c r="AS63" i="7"/>
  <c r="AR63" i="7"/>
  <c r="AQ63" i="7"/>
  <c r="AP63" i="7"/>
  <c r="AN63" i="7"/>
  <c r="AM63" i="7"/>
  <c r="AL63" i="7"/>
  <c r="AK63" i="7"/>
  <c r="AS62" i="7"/>
  <c r="AR62" i="7"/>
  <c r="AQ62" i="7"/>
  <c r="AP62" i="7"/>
  <c r="AN62" i="7"/>
  <c r="AM62" i="7"/>
  <c r="AL62" i="7"/>
  <c r="AK62" i="7"/>
  <c r="AS61" i="7"/>
  <c r="AR61" i="7"/>
  <c r="AQ61" i="7"/>
  <c r="AP61" i="7"/>
  <c r="AN61" i="7"/>
  <c r="AM61" i="7"/>
  <c r="AL61" i="7"/>
  <c r="AK61" i="7"/>
  <c r="AS60" i="7"/>
  <c r="AR60" i="7"/>
  <c r="AQ60" i="7"/>
  <c r="AP60" i="7"/>
  <c r="AN60" i="7"/>
  <c r="AM60" i="7"/>
  <c r="AL60" i="7"/>
  <c r="AK60" i="7"/>
  <c r="AS59" i="7"/>
  <c r="AR59" i="7"/>
  <c r="AQ59" i="7"/>
  <c r="AP59" i="7"/>
  <c r="AN59" i="7"/>
  <c r="AM59" i="7"/>
  <c r="AL59" i="7"/>
  <c r="AK59" i="7"/>
  <c r="AS58" i="7"/>
  <c r="AR58" i="7"/>
  <c r="AQ58" i="7"/>
  <c r="AP58" i="7"/>
  <c r="AN58" i="7"/>
  <c r="AM58" i="7"/>
  <c r="AL58" i="7"/>
  <c r="AK58" i="7"/>
  <c r="AS57" i="7"/>
  <c r="AR57" i="7"/>
  <c r="AQ57" i="7"/>
  <c r="AP57" i="7"/>
  <c r="AN57" i="7"/>
  <c r="AM57" i="7"/>
  <c r="AL57" i="7"/>
  <c r="AK57" i="7"/>
  <c r="AS56" i="7"/>
  <c r="AR56" i="7"/>
  <c r="AQ56" i="7"/>
  <c r="AP56" i="7"/>
  <c r="AN56" i="7"/>
  <c r="AM56" i="7"/>
  <c r="AL56" i="7"/>
  <c r="AK56" i="7"/>
  <c r="AS55" i="7"/>
  <c r="AR55" i="7"/>
  <c r="AQ55" i="7"/>
  <c r="AP55" i="7"/>
  <c r="AN55" i="7"/>
  <c r="AM55" i="7"/>
  <c r="AL55" i="7"/>
  <c r="AK55" i="7"/>
  <c r="AS54" i="7"/>
  <c r="AR54" i="7"/>
  <c r="AQ54" i="7"/>
  <c r="AP54" i="7"/>
  <c r="AN54" i="7"/>
  <c r="AM54" i="7"/>
  <c r="AL54" i="7"/>
  <c r="AK54" i="7"/>
  <c r="K53" i="7"/>
  <c r="J53" i="7"/>
  <c r="I53" i="7"/>
  <c r="H53" i="7"/>
  <c r="G53" i="7"/>
  <c r="AS52" i="7"/>
  <c r="AR52" i="7"/>
  <c r="AQ52" i="7"/>
  <c r="AP52" i="7"/>
  <c r="AN52" i="7"/>
  <c r="AM52" i="7"/>
  <c r="AL52" i="7"/>
  <c r="AK52" i="7"/>
  <c r="AS51" i="7"/>
  <c r="AR51" i="7"/>
  <c r="AQ51" i="7"/>
  <c r="AP51" i="7"/>
  <c r="AN51" i="7"/>
  <c r="AM51" i="7"/>
  <c r="AL51" i="7"/>
  <c r="AK51" i="7"/>
  <c r="AS50" i="7"/>
  <c r="AR50" i="7"/>
  <c r="AQ50" i="7"/>
  <c r="AP50" i="7"/>
  <c r="AN50" i="7"/>
  <c r="AM50" i="7"/>
  <c r="AL50" i="7"/>
  <c r="AK50" i="7"/>
  <c r="AS49" i="7"/>
  <c r="AR49" i="7"/>
  <c r="AQ49" i="7"/>
  <c r="AP49" i="7"/>
  <c r="AN49" i="7"/>
  <c r="AM49" i="7"/>
  <c r="AL49" i="7"/>
  <c r="AK49" i="7"/>
  <c r="K48" i="7"/>
  <c r="J48" i="7"/>
  <c r="I48" i="7"/>
  <c r="H48" i="7"/>
  <c r="G48" i="7"/>
  <c r="AS47" i="7"/>
  <c r="AR47" i="7"/>
  <c r="AQ47" i="7"/>
  <c r="AP47" i="7"/>
  <c r="AN47" i="7"/>
  <c r="AM47" i="7"/>
  <c r="AL47" i="7"/>
  <c r="AK47" i="7"/>
  <c r="AS46" i="7"/>
  <c r="AR46" i="7"/>
  <c r="AQ46" i="7"/>
  <c r="AP46" i="7"/>
  <c r="AN46" i="7"/>
  <c r="AM46" i="7"/>
  <c r="AL46" i="7"/>
  <c r="AK46" i="7"/>
  <c r="AS43" i="7"/>
  <c r="AR43" i="7"/>
  <c r="AQ43" i="7"/>
  <c r="AP43" i="7"/>
  <c r="AN43" i="7"/>
  <c r="AM43" i="7"/>
  <c r="AL43" i="7"/>
  <c r="AK43" i="7"/>
  <c r="AS42" i="7"/>
  <c r="AR42" i="7"/>
  <c r="AQ42" i="7"/>
  <c r="AP42" i="7"/>
  <c r="AN42" i="7"/>
  <c r="AM42" i="7"/>
  <c r="AL42" i="7"/>
  <c r="AK42" i="7"/>
  <c r="AS41" i="7"/>
  <c r="AR41" i="7"/>
  <c r="AQ41" i="7"/>
  <c r="AP41" i="7"/>
  <c r="AN41" i="7"/>
  <c r="AM41" i="7"/>
  <c r="AL41" i="7"/>
  <c r="AK41" i="7"/>
  <c r="K40" i="7"/>
  <c r="J40" i="7"/>
  <c r="I40" i="7"/>
  <c r="H40" i="7"/>
  <c r="G40" i="7"/>
  <c r="AS39" i="7"/>
  <c r="AR39" i="7"/>
  <c r="AQ39" i="7"/>
  <c r="AP39" i="7"/>
  <c r="AN39" i="7"/>
  <c r="AM39" i="7"/>
  <c r="AL39" i="7"/>
  <c r="AK39" i="7"/>
  <c r="AS38" i="7"/>
  <c r="AR38" i="7"/>
  <c r="AQ38" i="7"/>
  <c r="AP38" i="7"/>
  <c r="AN38" i="7"/>
  <c r="AM38" i="7"/>
  <c r="AL38" i="7"/>
  <c r="AK38" i="7"/>
  <c r="K37" i="7"/>
  <c r="J37" i="7"/>
  <c r="I37" i="7"/>
  <c r="H37" i="7"/>
  <c r="G37" i="7"/>
  <c r="AS36" i="7"/>
  <c r="AR36" i="7"/>
  <c r="AQ36" i="7"/>
  <c r="AP36" i="7"/>
  <c r="AN36" i="7"/>
  <c r="AM36" i="7"/>
  <c r="AL36" i="7"/>
  <c r="AK36" i="7"/>
  <c r="AS35" i="7"/>
  <c r="AR35" i="7"/>
  <c r="AQ35" i="7"/>
  <c r="AP35" i="7"/>
  <c r="AN35" i="7"/>
  <c r="AM35" i="7"/>
  <c r="AL35" i="7"/>
  <c r="AK35" i="7"/>
  <c r="AS34" i="7"/>
  <c r="AR34" i="7"/>
  <c r="AQ34" i="7"/>
  <c r="AP34" i="7"/>
  <c r="AN34" i="7"/>
  <c r="AM34" i="7"/>
  <c r="AL34" i="7"/>
  <c r="AK34" i="7"/>
  <c r="AS32" i="7"/>
  <c r="AR32" i="7"/>
  <c r="AQ32" i="7"/>
  <c r="AP32" i="7"/>
  <c r="AN32" i="7"/>
  <c r="AM32" i="7"/>
  <c r="AL32" i="7"/>
  <c r="AK32" i="7"/>
  <c r="AS31" i="7"/>
  <c r="AR31" i="7"/>
  <c r="AQ31" i="7"/>
  <c r="AP31" i="7"/>
  <c r="AN31" i="7"/>
  <c r="AM31" i="7"/>
  <c r="AL31" i="7"/>
  <c r="AK31" i="7"/>
  <c r="AS30" i="7"/>
  <c r="AR30" i="7"/>
  <c r="AQ30" i="7"/>
  <c r="AP30" i="7"/>
  <c r="AN30" i="7"/>
  <c r="AM30" i="7"/>
  <c r="AL30" i="7"/>
  <c r="AK30" i="7"/>
  <c r="AS29" i="7"/>
  <c r="AR29" i="7"/>
  <c r="AQ29" i="7"/>
  <c r="AP29" i="7"/>
  <c r="AN29" i="7"/>
  <c r="AM29" i="7"/>
  <c r="AL29" i="7"/>
  <c r="AK29" i="7"/>
  <c r="AS28" i="7"/>
  <c r="AR28" i="7"/>
  <c r="AQ28" i="7"/>
  <c r="AP28" i="7"/>
  <c r="AN28" i="7"/>
  <c r="AM28" i="7"/>
  <c r="AL28" i="7"/>
  <c r="AK28" i="7"/>
  <c r="K27" i="7"/>
  <c r="J27" i="7"/>
  <c r="I27" i="7"/>
  <c r="H27" i="7"/>
  <c r="G27" i="7"/>
  <c r="AS26" i="7"/>
  <c r="AR26" i="7"/>
  <c r="AQ26" i="7"/>
  <c r="AP26" i="7"/>
  <c r="AN26" i="7"/>
  <c r="AM26" i="7"/>
  <c r="AL26" i="7"/>
  <c r="AK26" i="7"/>
  <c r="AS25" i="7"/>
  <c r="AR25" i="7"/>
  <c r="AQ25" i="7"/>
  <c r="AP25" i="7"/>
  <c r="AN25" i="7"/>
  <c r="AM25" i="7"/>
  <c r="AL25" i="7"/>
  <c r="AK25" i="7"/>
  <c r="AS24" i="7"/>
  <c r="AR24" i="7"/>
  <c r="AQ24" i="7"/>
  <c r="AP24" i="7"/>
  <c r="AN24" i="7"/>
  <c r="AM24" i="7"/>
  <c r="AL24" i="7"/>
  <c r="AK24" i="7"/>
  <c r="K23" i="7"/>
  <c r="J23" i="7"/>
  <c r="I23" i="7"/>
  <c r="H23" i="7"/>
  <c r="G23" i="7"/>
  <c r="AS22" i="7"/>
  <c r="AR22" i="7"/>
  <c r="AQ22" i="7"/>
  <c r="AP22" i="7"/>
  <c r="AN22" i="7"/>
  <c r="AM22" i="7"/>
  <c r="AL22" i="7"/>
  <c r="AK22" i="7"/>
  <c r="AS21" i="7"/>
  <c r="AR21" i="7"/>
  <c r="AQ21" i="7"/>
  <c r="AP21" i="7"/>
  <c r="AN21" i="7"/>
  <c r="AM21" i="7"/>
  <c r="AL21" i="7"/>
  <c r="AK21" i="7"/>
  <c r="AS20" i="7"/>
  <c r="AR20" i="7"/>
  <c r="AQ20" i="7"/>
  <c r="AP20" i="7"/>
  <c r="AN20" i="7"/>
  <c r="AM20" i="7"/>
  <c r="AL20" i="7"/>
  <c r="AK20" i="7"/>
  <c r="AD20" i="7"/>
  <c r="K19" i="7"/>
  <c r="O19" i="7" s="1"/>
  <c r="J19" i="7"/>
  <c r="N19" i="7" s="1"/>
  <c r="I19" i="7"/>
  <c r="M19" i="7" s="1"/>
  <c r="H19" i="7"/>
  <c r="L19" i="7" s="1"/>
  <c r="G19" i="7"/>
  <c r="AS16" i="7"/>
  <c r="AR16" i="7"/>
  <c r="AQ16" i="7"/>
  <c r="AP16" i="7"/>
  <c r="AN16" i="7"/>
  <c r="AM16" i="7"/>
  <c r="AL16" i="7"/>
  <c r="AK16" i="7"/>
  <c r="AS15" i="7"/>
  <c r="AR15" i="7"/>
  <c r="AQ15" i="7"/>
  <c r="AP15" i="7"/>
  <c r="AN15" i="7"/>
  <c r="AM15" i="7"/>
  <c r="AL15" i="7"/>
  <c r="AK15" i="7"/>
  <c r="K14" i="7"/>
  <c r="J14" i="7"/>
  <c r="I14" i="7"/>
  <c r="H14" i="7"/>
  <c r="G14" i="7"/>
  <c r="AS13" i="7"/>
  <c r="AR13" i="7"/>
  <c r="AQ13" i="7"/>
  <c r="AP13" i="7"/>
  <c r="AN13" i="7"/>
  <c r="AM13" i="7"/>
  <c r="AL13" i="7"/>
  <c r="AK13" i="7"/>
  <c r="AS12" i="7"/>
  <c r="AR12" i="7"/>
  <c r="AQ12" i="7"/>
  <c r="AP12" i="7"/>
  <c r="AN12" i="7"/>
  <c r="AM12" i="7"/>
  <c r="AL12" i="7"/>
  <c r="AK12" i="7"/>
  <c r="AS11" i="7"/>
  <c r="AR11" i="7"/>
  <c r="AQ11" i="7"/>
  <c r="AP11" i="7"/>
  <c r="AN11" i="7"/>
  <c r="AM11" i="7"/>
  <c r="AL11" i="7"/>
  <c r="AK11" i="7"/>
  <c r="AS10" i="7"/>
  <c r="AR10" i="7"/>
  <c r="AQ10" i="7"/>
  <c r="AP10" i="7"/>
  <c r="AN10" i="7"/>
  <c r="AM10" i="7"/>
  <c r="AL10" i="7"/>
  <c r="AK10" i="7"/>
  <c r="AS9" i="7"/>
  <c r="AR9" i="7"/>
  <c r="AQ9" i="7"/>
  <c r="AP9" i="7"/>
  <c r="AN9" i="7"/>
  <c r="AM9" i="7"/>
  <c r="AL9" i="7"/>
  <c r="AK9" i="7"/>
  <c r="AS8" i="7"/>
  <c r="AR8" i="7"/>
  <c r="AQ8" i="7"/>
  <c r="AP8" i="7"/>
  <c r="AN8" i="7"/>
  <c r="AM8" i="7"/>
  <c r="AL8" i="7"/>
  <c r="AK8" i="7"/>
  <c r="K7" i="7"/>
  <c r="J7" i="7"/>
  <c r="I7" i="7"/>
  <c r="H7" i="7"/>
  <c r="G7" i="7"/>
  <c r="AS6" i="7"/>
  <c r="AR6" i="7"/>
  <c r="AQ6" i="7"/>
  <c r="AP6" i="7"/>
  <c r="AN6" i="7"/>
  <c r="AM6" i="7"/>
  <c r="AL6" i="7"/>
  <c r="AK6" i="7"/>
  <c r="K5" i="7"/>
  <c r="J5" i="7"/>
  <c r="I5" i="7"/>
  <c r="H5" i="7"/>
  <c r="AS4" i="7"/>
  <c r="AR4" i="7"/>
  <c r="AQ4" i="7"/>
  <c r="AP4" i="7"/>
  <c r="AN4" i="7"/>
  <c r="AM4" i="7"/>
  <c r="AL4" i="7"/>
  <c r="AK4" i="7"/>
  <c r="B52" i="2"/>
  <c r="F46" i="2"/>
  <c r="E46" i="2"/>
  <c r="D46" i="2"/>
  <c r="C46" i="2"/>
  <c r="B46" i="2"/>
  <c r="F39" i="2"/>
  <c r="E39" i="2"/>
  <c r="D39" i="2"/>
  <c r="C39" i="2"/>
  <c r="F38" i="2"/>
  <c r="E38" i="2"/>
  <c r="D38" i="2"/>
  <c r="C38" i="2"/>
  <c r="F40" i="2"/>
  <c r="E40" i="2"/>
  <c r="D40" i="2"/>
  <c r="C40" i="2"/>
  <c r="B40" i="2"/>
  <c r="B39" i="2"/>
  <c r="B38" i="2"/>
  <c r="B41" i="2" s="1"/>
  <c r="B11" i="6"/>
  <c r="B10" i="6"/>
  <c r="B32" i="6" s="1"/>
  <c r="C32" i="6" s="1"/>
  <c r="B9" i="6"/>
  <c r="B7" i="6"/>
  <c r="B6" i="6"/>
  <c r="B57" i="5"/>
  <c r="B22" i="4"/>
  <c r="B8" i="6" s="1"/>
  <c r="B9" i="4"/>
  <c r="B61" i="3"/>
  <c r="B52" i="3"/>
  <c r="B50" i="3"/>
  <c r="B48" i="3"/>
  <c r="G41" i="3"/>
  <c r="F41" i="3"/>
  <c r="E41" i="3"/>
  <c r="D41" i="3"/>
  <c r="C41" i="3"/>
  <c r="E57" i="2"/>
  <c r="D57" i="2"/>
  <c r="F52" i="2"/>
  <c r="E52" i="2"/>
  <c r="D52" i="2"/>
  <c r="C52" i="2"/>
  <c r="F49" i="2"/>
  <c r="E49" i="2"/>
  <c r="D49" i="2"/>
  <c r="C49" i="2"/>
  <c r="B42" i="1"/>
  <c r="B40" i="1"/>
  <c r="B26" i="5" l="1"/>
  <c r="B25" i="5"/>
  <c r="B25" i="3"/>
  <c r="B26" i="3" s="1"/>
  <c r="B31" i="3" s="1"/>
  <c r="C38" i="5"/>
  <c r="B27" i="5"/>
  <c r="B28" i="5" s="1"/>
  <c r="C24" i="3"/>
  <c r="C25" i="3" s="1"/>
  <c r="C36" i="3"/>
  <c r="D22" i="3"/>
  <c r="C32" i="3"/>
  <c r="B37" i="5"/>
  <c r="B9" i="5"/>
  <c r="B13" i="6"/>
  <c r="B14" i="6" s="1"/>
  <c r="C57" i="5"/>
  <c r="C59" i="5" s="1"/>
  <c r="F47" i="2"/>
  <c r="F48" i="2" s="1"/>
  <c r="F50" i="2" s="1"/>
  <c r="E47" i="2"/>
  <c r="E48" i="2" s="1"/>
  <c r="E50" i="2" s="1"/>
  <c r="D47" i="2"/>
  <c r="D48" i="2" s="1"/>
  <c r="D50" i="2" s="1"/>
  <c r="C47" i="2"/>
  <c r="C48" i="2" s="1"/>
  <c r="C50" i="2" s="1"/>
  <c r="B47" i="2"/>
  <c r="B48" i="2" s="1"/>
  <c r="B50" i="2" s="1"/>
  <c r="AL53" i="7"/>
  <c r="AQ53" i="7"/>
  <c r="AP53" i="7"/>
  <c r="AK53" i="7"/>
  <c r="AS37" i="7"/>
  <c r="AN37" i="7"/>
  <c r="AM37" i="7"/>
  <c r="AR37" i="7"/>
  <c r="AL37" i="7"/>
  <c r="AQ37" i="7"/>
  <c r="AK37" i="7"/>
  <c r="AP37" i="7"/>
  <c r="AS5" i="7"/>
  <c r="AN5" i="7"/>
  <c r="AR5" i="7"/>
  <c r="AM5" i="7"/>
  <c r="AQ5" i="7"/>
  <c r="AL5" i="7"/>
  <c r="AP5" i="7"/>
  <c r="AK5" i="7"/>
  <c r="K18" i="8"/>
  <c r="AJ18" i="8" s="1"/>
  <c r="AO17" i="8"/>
  <c r="AO47" i="8"/>
  <c r="AJ47" i="8"/>
  <c r="AE47" i="8"/>
  <c r="AN47" i="8"/>
  <c r="AI47" i="8"/>
  <c r="AD47" i="8"/>
  <c r="AM47" i="8"/>
  <c r="AH47" i="8"/>
  <c r="AC47" i="8"/>
  <c r="AL47" i="8"/>
  <c r="AG47" i="8"/>
  <c r="AB47" i="8"/>
  <c r="AO46" i="8"/>
  <c r="AJ46" i="8"/>
  <c r="AE46" i="8"/>
  <c r="AN46" i="8"/>
  <c r="AI46" i="8"/>
  <c r="AD46" i="8"/>
  <c r="AM46" i="8"/>
  <c r="AH46" i="8"/>
  <c r="AC46" i="8"/>
  <c r="AL46" i="8"/>
  <c r="AG46" i="8"/>
  <c r="AB46" i="8"/>
  <c r="AO43" i="8"/>
  <c r="AE43" i="8"/>
  <c r="AJ43" i="8"/>
  <c r="AN43" i="8"/>
  <c r="AD43" i="8"/>
  <c r="AI43" i="8"/>
  <c r="AM43" i="8"/>
  <c r="AH43" i="8"/>
  <c r="AC43" i="8"/>
  <c r="AG43" i="8"/>
  <c r="AL43" i="8"/>
  <c r="AB43" i="8"/>
  <c r="AO39" i="8"/>
  <c r="AJ39" i="8"/>
  <c r="AE39" i="8"/>
  <c r="AN39" i="8"/>
  <c r="AI39" i="8"/>
  <c r="AD39" i="8"/>
  <c r="AM39" i="8"/>
  <c r="AH39" i="8"/>
  <c r="AC39" i="8"/>
  <c r="AL39" i="8"/>
  <c r="AG39" i="8"/>
  <c r="AB39" i="8"/>
  <c r="AO37" i="8"/>
  <c r="AJ37" i="8"/>
  <c r="AE37" i="8"/>
  <c r="AN37" i="8"/>
  <c r="AI37" i="8"/>
  <c r="AD37" i="8"/>
  <c r="AH37" i="8"/>
  <c r="AC37" i="8"/>
  <c r="AM37" i="8"/>
  <c r="AL37" i="8"/>
  <c r="AG37" i="8"/>
  <c r="AB37" i="8"/>
  <c r="AE29" i="8"/>
  <c r="AJ29" i="8"/>
  <c r="K31" i="8"/>
  <c r="AO29" i="8"/>
  <c r="AD29" i="8"/>
  <c r="AI29" i="8"/>
  <c r="J31" i="8"/>
  <c r="AN29" i="8"/>
  <c r="AC29" i="8"/>
  <c r="AH29" i="8"/>
  <c r="AM29" i="8"/>
  <c r="I31" i="8"/>
  <c r="AB29" i="8"/>
  <c r="AL29" i="8"/>
  <c r="H31" i="8"/>
  <c r="AG29" i="8"/>
  <c r="AA29" i="8"/>
  <c r="G31" i="8"/>
  <c r="AO27" i="8"/>
  <c r="AJ27" i="8"/>
  <c r="AE27" i="8"/>
  <c r="AD27" i="8"/>
  <c r="AN27" i="8"/>
  <c r="AI27" i="8"/>
  <c r="AM27" i="8"/>
  <c r="AC27" i="8"/>
  <c r="AH27" i="8"/>
  <c r="AL27" i="8"/>
  <c r="AG27" i="8"/>
  <c r="AB27" i="8"/>
  <c r="AO26" i="8"/>
  <c r="AJ26" i="8"/>
  <c r="AE26" i="8"/>
  <c r="AD26" i="8"/>
  <c r="AN26" i="8"/>
  <c r="AI26" i="8"/>
  <c r="AM26" i="8"/>
  <c r="AH26" i="8"/>
  <c r="AC26" i="8"/>
  <c r="AG26" i="8"/>
  <c r="AL26" i="8"/>
  <c r="AB26" i="8"/>
  <c r="AE18" i="8"/>
  <c r="AN18" i="8"/>
  <c r="AD18" i="8"/>
  <c r="AI18" i="8"/>
  <c r="AH18" i="8"/>
  <c r="AM18" i="8"/>
  <c r="AC18" i="8"/>
  <c r="AG18" i="8"/>
  <c r="AB18" i="8"/>
  <c r="AL18" i="8"/>
  <c r="AE17" i="8"/>
  <c r="AJ17" i="8"/>
  <c r="AD17" i="8"/>
  <c r="AN17" i="8"/>
  <c r="AI17" i="8"/>
  <c r="AM17" i="8"/>
  <c r="AC17" i="8"/>
  <c r="AH17" i="8"/>
  <c r="AL17" i="8"/>
  <c r="AG17" i="8"/>
  <c r="AB17" i="8"/>
  <c r="AE10" i="8"/>
  <c r="AO10" i="8"/>
  <c r="AJ10" i="8"/>
  <c r="AI10" i="8"/>
  <c r="AN10" i="8"/>
  <c r="AD10" i="8"/>
  <c r="AC10" i="8"/>
  <c r="AM10" i="8"/>
  <c r="AH10" i="8"/>
  <c r="AG10" i="8"/>
  <c r="AL10" i="8"/>
  <c r="AB10" i="8"/>
  <c r="AJ6" i="8"/>
  <c r="AO6" i="8"/>
  <c r="K8" i="8"/>
  <c r="AE6" i="8"/>
  <c r="K7" i="8"/>
  <c r="K14" i="8"/>
  <c r="AI6" i="8"/>
  <c r="J14" i="8"/>
  <c r="AN6" i="8"/>
  <c r="AD6" i="8"/>
  <c r="J8" i="8"/>
  <c r="J7" i="8"/>
  <c r="AC6" i="8"/>
  <c r="I8" i="8"/>
  <c r="I7" i="8"/>
  <c r="I14" i="8"/>
  <c r="AH6" i="8"/>
  <c r="AM6" i="8"/>
  <c r="AL6" i="8"/>
  <c r="H14" i="8"/>
  <c r="H7" i="8"/>
  <c r="H8" i="8"/>
  <c r="AG6" i="8"/>
  <c r="AB6" i="8"/>
  <c r="AA6" i="8"/>
  <c r="G8" i="8"/>
  <c r="AA8" i="8" s="1"/>
  <c r="G14" i="8"/>
  <c r="AJ4" i="8"/>
  <c r="AO4" i="8"/>
  <c r="AE4" i="8"/>
  <c r="AI4" i="8"/>
  <c r="AN4" i="8"/>
  <c r="AD4" i="8"/>
  <c r="AH4" i="8"/>
  <c r="AM4" i="8"/>
  <c r="AC4" i="8"/>
  <c r="AG4" i="8"/>
  <c r="AB4" i="8"/>
  <c r="AL4" i="8"/>
  <c r="K69" i="7"/>
  <c r="AN68" i="7"/>
  <c r="AS68" i="7"/>
  <c r="AR68" i="7"/>
  <c r="J69" i="7"/>
  <c r="AM68" i="7"/>
  <c r="AQ68" i="7"/>
  <c r="AL68" i="7"/>
  <c r="I69" i="7"/>
  <c r="AK68" i="7"/>
  <c r="AP68" i="7"/>
  <c r="H69" i="7"/>
  <c r="AN53" i="7"/>
  <c r="AS53" i="7"/>
  <c r="AR53" i="7"/>
  <c r="AM53" i="7"/>
  <c r="AN48" i="7"/>
  <c r="AS48" i="7"/>
  <c r="AM48" i="7"/>
  <c r="AR48" i="7"/>
  <c r="AQ48" i="7"/>
  <c r="AL48" i="7"/>
  <c r="AP48" i="7"/>
  <c r="AK48" i="7"/>
  <c r="AS40" i="7"/>
  <c r="AN40" i="7"/>
  <c r="K33" i="7"/>
  <c r="J33" i="7"/>
  <c r="AR40" i="7"/>
  <c r="AM40" i="7"/>
  <c r="I33" i="7"/>
  <c r="AL40" i="7"/>
  <c r="AQ40" i="7"/>
  <c r="H33" i="7"/>
  <c r="AK40" i="7"/>
  <c r="AP40" i="7"/>
  <c r="G33" i="7"/>
  <c r="AS27" i="7"/>
  <c r="AN27" i="7"/>
  <c r="AR27" i="7"/>
  <c r="AM27" i="7"/>
  <c r="AQ27" i="7"/>
  <c r="AL27" i="7"/>
  <c r="AP27" i="7"/>
  <c r="AK27" i="7"/>
  <c r="AN23" i="7"/>
  <c r="AS23" i="7"/>
  <c r="AR23" i="7"/>
  <c r="AM23" i="7"/>
  <c r="AL23" i="7"/>
  <c r="AQ23" i="7"/>
  <c r="AK23" i="7"/>
  <c r="AP23" i="7"/>
  <c r="AS19" i="7"/>
  <c r="AN19" i="7"/>
  <c r="AM19" i="7"/>
  <c r="AR19" i="7"/>
  <c r="AL19" i="7"/>
  <c r="AQ19" i="7"/>
  <c r="AK19" i="7"/>
  <c r="AP19" i="7"/>
  <c r="AS14" i="7"/>
  <c r="AN14" i="7"/>
  <c r="AR14" i="7"/>
  <c r="AM14" i="7"/>
  <c r="AL14" i="7"/>
  <c r="AQ14" i="7"/>
  <c r="AP14" i="7"/>
  <c r="AK14" i="7"/>
  <c r="AS7" i="7"/>
  <c r="K3" i="7"/>
  <c r="AN7" i="7"/>
  <c r="AM7" i="7"/>
  <c r="AR7" i="7"/>
  <c r="J3" i="7"/>
  <c r="AL7" i="7"/>
  <c r="I3" i="7"/>
  <c r="AQ7" i="7"/>
  <c r="AK7" i="7"/>
  <c r="AP7" i="7"/>
  <c r="H3" i="7"/>
  <c r="G3" i="7"/>
  <c r="F41" i="2"/>
  <c r="D41" i="2"/>
  <c r="C41" i="2"/>
  <c r="C42" i="2" s="1"/>
  <c r="C51" i="2" s="1"/>
  <c r="E41" i="2"/>
  <c r="E42" i="2" s="1"/>
  <c r="E51" i="2" s="1"/>
  <c r="B25" i="6"/>
  <c r="C25" i="6" s="1"/>
  <c r="D25" i="6" s="1"/>
  <c r="B27" i="6"/>
  <c r="C27" i="6" s="1"/>
  <c r="B29" i="6"/>
  <c r="C29" i="6" s="1"/>
  <c r="D29" i="6" s="1"/>
  <c r="B31" i="6"/>
  <c r="C31" i="6" s="1"/>
  <c r="B33" i="6"/>
  <c r="C33" i="6" s="1"/>
  <c r="D33" i="6" s="1"/>
  <c r="D32" i="6"/>
  <c r="D27" i="6"/>
  <c r="D31" i="6"/>
  <c r="B36" i="5"/>
  <c r="B39" i="5" s="1"/>
  <c r="C36" i="5"/>
  <c r="B38" i="5"/>
  <c r="B12" i="6"/>
  <c r="F25" i="6" s="1"/>
  <c r="G25" i="6" s="1"/>
  <c r="H25" i="6" s="1"/>
  <c r="B26" i="6"/>
  <c r="C26" i="6" s="1"/>
  <c r="D26" i="6" s="1"/>
  <c r="B28" i="6"/>
  <c r="C28" i="6" s="1"/>
  <c r="D28" i="6" s="1"/>
  <c r="B30" i="6"/>
  <c r="C30" i="6" s="1"/>
  <c r="D30" i="6" s="1"/>
  <c r="D34" i="3" l="1"/>
  <c r="D32" i="3"/>
  <c r="E22" i="3"/>
  <c r="D36" i="3"/>
  <c r="D24" i="3"/>
  <c r="D25" i="3" s="1"/>
  <c r="AO18" i="8"/>
  <c r="F42" i="2"/>
  <c r="F51" i="2" s="1"/>
  <c r="C53" i="2"/>
  <c r="B31" i="5"/>
  <c r="C26" i="3"/>
  <c r="C35" i="3"/>
  <c r="AE31" i="8"/>
  <c r="AJ31" i="8"/>
  <c r="AO31" i="8"/>
  <c r="K32" i="8"/>
  <c r="K33" i="8"/>
  <c r="K35" i="8"/>
  <c r="AD31" i="8"/>
  <c r="AI31" i="8"/>
  <c r="AN31" i="8"/>
  <c r="J32" i="8"/>
  <c r="J35" i="8"/>
  <c r="J33" i="8"/>
  <c r="AC31" i="8"/>
  <c r="AH31" i="8"/>
  <c r="AM31" i="8"/>
  <c r="I32" i="8"/>
  <c r="I33" i="8"/>
  <c r="I35" i="8"/>
  <c r="AB31" i="8"/>
  <c r="AG31" i="8"/>
  <c r="AL31" i="8"/>
  <c r="H32" i="8"/>
  <c r="H33" i="8"/>
  <c r="H35" i="8"/>
  <c r="AA31" i="8"/>
  <c r="G33" i="8"/>
  <c r="AA33" i="8" s="1"/>
  <c r="G35" i="8"/>
  <c r="AA35" i="8" s="1"/>
  <c r="AE8" i="8"/>
  <c r="AJ8" i="8"/>
  <c r="AO8" i="8"/>
  <c r="AE7" i="8"/>
  <c r="AO7" i="8"/>
  <c r="AJ7" i="8"/>
  <c r="AE14" i="8"/>
  <c r="AJ14" i="8"/>
  <c r="AO14" i="8"/>
  <c r="K15" i="8"/>
  <c r="K16" i="8"/>
  <c r="K22" i="8"/>
  <c r="K48" i="8"/>
  <c r="AD14" i="8"/>
  <c r="AI14" i="8"/>
  <c r="AN14" i="8"/>
  <c r="J15" i="8"/>
  <c r="J16" i="8"/>
  <c r="J48" i="8"/>
  <c r="J22" i="8"/>
  <c r="AD8" i="8"/>
  <c r="AI8" i="8"/>
  <c r="AN8" i="8"/>
  <c r="AD7" i="8"/>
  <c r="AN7" i="8"/>
  <c r="AI7" i="8"/>
  <c r="AC8" i="8"/>
  <c r="AH8" i="8"/>
  <c r="AM8" i="8"/>
  <c r="AM7" i="8"/>
  <c r="AC7" i="8"/>
  <c r="AH7" i="8"/>
  <c r="AC14" i="8"/>
  <c r="AH14" i="8"/>
  <c r="AM14" i="8"/>
  <c r="I15" i="8"/>
  <c r="I16" i="8"/>
  <c r="I22" i="8"/>
  <c r="I48" i="8"/>
  <c r="AB14" i="8"/>
  <c r="AG14" i="8"/>
  <c r="AL14" i="8"/>
  <c r="H15" i="8"/>
  <c r="H16" i="8"/>
  <c r="H48" i="8"/>
  <c r="H22" i="8"/>
  <c r="AG7" i="8"/>
  <c r="AL7" i="8"/>
  <c r="AB7" i="8"/>
  <c r="AB8" i="8"/>
  <c r="AG8" i="8"/>
  <c r="AL8" i="8"/>
  <c r="AA14" i="8"/>
  <c r="G16" i="8"/>
  <c r="AA16" i="8" s="1"/>
  <c r="G48" i="8"/>
  <c r="AA48" i="8" s="1"/>
  <c r="G22" i="8"/>
  <c r="AA22" i="8" s="1"/>
  <c r="AN69" i="7"/>
  <c r="AS69" i="7"/>
  <c r="AM69" i="7"/>
  <c r="AR69" i="7"/>
  <c r="AL69" i="7"/>
  <c r="AQ69" i="7"/>
  <c r="AK69" i="7"/>
  <c r="AP69" i="7"/>
  <c r="AN33" i="7"/>
  <c r="AS33" i="7"/>
  <c r="K44" i="7"/>
  <c r="AM33" i="7"/>
  <c r="AR33" i="7"/>
  <c r="J44" i="7"/>
  <c r="AL33" i="7"/>
  <c r="AQ33" i="7"/>
  <c r="I44" i="7"/>
  <c r="AK33" i="7"/>
  <c r="AP33" i="7"/>
  <c r="H44" i="7"/>
  <c r="G44" i="7"/>
  <c r="AN3" i="7"/>
  <c r="AS3" i="7"/>
  <c r="K17" i="7"/>
  <c r="AM3" i="7"/>
  <c r="AR3" i="7"/>
  <c r="J17" i="7"/>
  <c r="AL3" i="7"/>
  <c r="AQ3" i="7"/>
  <c r="I17" i="7"/>
  <c r="AK3" i="7"/>
  <c r="AP3" i="7"/>
  <c r="H17" i="7"/>
  <c r="G17" i="7"/>
  <c r="D42" i="2"/>
  <c r="D51" i="2" s="1"/>
  <c r="D53" i="2" s="1"/>
  <c r="C58" i="2" s="1"/>
  <c r="F53" i="2"/>
  <c r="E53" i="2"/>
  <c r="F33" i="6"/>
  <c r="G33" i="6" s="1"/>
  <c r="H33" i="6" s="1"/>
  <c r="F31" i="6"/>
  <c r="G31" i="6" s="1"/>
  <c r="H31" i="6" s="1"/>
  <c r="B18" i="6"/>
  <c r="F29" i="6"/>
  <c r="G29" i="6" s="1"/>
  <c r="H29" i="6" s="1"/>
  <c r="F27" i="6"/>
  <c r="G27" i="6" s="1"/>
  <c r="H27" i="6" s="1"/>
  <c r="C37" i="5"/>
  <c r="C39" i="5" s="1"/>
  <c r="C40" i="5"/>
  <c r="F30" i="6"/>
  <c r="G30" i="6" s="1"/>
  <c r="H30" i="6" s="1"/>
  <c r="F26" i="6"/>
  <c r="G26" i="6" s="1"/>
  <c r="H26" i="6" s="1"/>
  <c r="F28" i="6"/>
  <c r="G28" i="6" s="1"/>
  <c r="H28" i="6" s="1"/>
  <c r="F32" i="6"/>
  <c r="G32" i="6" s="1"/>
  <c r="H32" i="6" s="1"/>
  <c r="E34" i="3" l="1"/>
  <c r="E32" i="3"/>
  <c r="F22" i="3"/>
  <c r="E36" i="3"/>
  <c r="E24" i="3"/>
  <c r="E25" i="3" s="1"/>
  <c r="B33" i="3"/>
  <c r="B45" i="5"/>
  <c r="B47" i="5"/>
  <c r="B48" i="5" s="1"/>
  <c r="B52" i="5" s="1"/>
  <c r="C58" i="5"/>
  <c r="C60" i="5" s="1"/>
  <c r="C61" i="5" s="1"/>
  <c r="C41" i="5"/>
  <c r="C42" i="5" s="1"/>
  <c r="C31" i="3"/>
  <c r="C33" i="3"/>
  <c r="D35" i="3"/>
  <c r="D26" i="3"/>
  <c r="D58" i="2"/>
  <c r="AE32" i="8"/>
  <c r="AJ32" i="8"/>
  <c r="AO32" i="8"/>
  <c r="AE33" i="8"/>
  <c r="AO33" i="8"/>
  <c r="AJ33" i="8"/>
  <c r="AJ35" i="8"/>
  <c r="AO35" i="8"/>
  <c r="AE35" i="8"/>
  <c r="AD32" i="8"/>
  <c r="AI32" i="8"/>
  <c r="AN32" i="8"/>
  <c r="AD35" i="8"/>
  <c r="AI35" i="8"/>
  <c r="AN35" i="8"/>
  <c r="AD33" i="8"/>
  <c r="AN33" i="8"/>
  <c r="AI33" i="8"/>
  <c r="AC32" i="8"/>
  <c r="AH32" i="8"/>
  <c r="AM32" i="8"/>
  <c r="AH33" i="8"/>
  <c r="AC33" i="8"/>
  <c r="AM33" i="8"/>
  <c r="AC35" i="8"/>
  <c r="AH35" i="8"/>
  <c r="AM35" i="8"/>
  <c r="AB32" i="8"/>
  <c r="AG32" i="8"/>
  <c r="AL32" i="8"/>
  <c r="AG33" i="8"/>
  <c r="AL33" i="8"/>
  <c r="AB33" i="8"/>
  <c r="AB35" i="8"/>
  <c r="AG35" i="8"/>
  <c r="AL35" i="8"/>
  <c r="AE15" i="8"/>
  <c r="AJ15" i="8"/>
  <c r="AO15" i="8"/>
  <c r="AE16" i="8"/>
  <c r="AJ16" i="8"/>
  <c r="AO16" i="8"/>
  <c r="AJ22" i="8"/>
  <c r="AO22" i="8"/>
  <c r="AE22" i="8"/>
  <c r="AE48" i="8"/>
  <c r="AJ48" i="8"/>
  <c r="AO48" i="8"/>
  <c r="AD15" i="8"/>
  <c r="AI15" i="8"/>
  <c r="AN15" i="8"/>
  <c r="AD16" i="8"/>
  <c r="AI16" i="8"/>
  <c r="AN16" i="8"/>
  <c r="AD48" i="8"/>
  <c r="AI48" i="8"/>
  <c r="AN48" i="8"/>
  <c r="AI22" i="8"/>
  <c r="AN22" i="8"/>
  <c r="AD22" i="8"/>
  <c r="AC15" i="8"/>
  <c r="AH15" i="8"/>
  <c r="AM15" i="8"/>
  <c r="AC16" i="8"/>
  <c r="AH16" i="8"/>
  <c r="AM16" i="8"/>
  <c r="AM22" i="8"/>
  <c r="AC22" i="8"/>
  <c r="AH22" i="8"/>
  <c r="AC48" i="8"/>
  <c r="AH48" i="8"/>
  <c r="AM48" i="8"/>
  <c r="AB15" i="8"/>
  <c r="AG15" i="8"/>
  <c r="AL15" i="8"/>
  <c r="AB16" i="8"/>
  <c r="AG16" i="8"/>
  <c r="AL16" i="8"/>
  <c r="AB48" i="8"/>
  <c r="AG48" i="8"/>
  <c r="AL48" i="8"/>
  <c r="AB22" i="8"/>
  <c r="AL22" i="8"/>
  <c r="AG22" i="8"/>
  <c r="AS44" i="7"/>
  <c r="AN44" i="7"/>
  <c r="K45" i="7"/>
  <c r="AI44" i="7"/>
  <c r="K66" i="7"/>
  <c r="J45" i="7"/>
  <c r="J66" i="7"/>
  <c r="AM44" i="7"/>
  <c r="AR44" i="7"/>
  <c r="AH44" i="7"/>
  <c r="I45" i="7"/>
  <c r="AQ44" i="7"/>
  <c r="AG44" i="7"/>
  <c r="AL44" i="7"/>
  <c r="I66" i="7"/>
  <c r="H66" i="7"/>
  <c r="AP44" i="7"/>
  <c r="AF44" i="7"/>
  <c r="AK44" i="7"/>
  <c r="H45" i="7"/>
  <c r="G66" i="7"/>
  <c r="AE66" i="7" s="1"/>
  <c r="AE44" i="7"/>
  <c r="AI27" i="7"/>
  <c r="AI7" i="7"/>
  <c r="AI14" i="7"/>
  <c r="AI19" i="7"/>
  <c r="AI23" i="7"/>
  <c r="AI40" i="7"/>
  <c r="AI48" i="7"/>
  <c r="AI53" i="7"/>
  <c r="AI68" i="7"/>
  <c r="AI17" i="7"/>
  <c r="AN17" i="7"/>
  <c r="AS17" i="7"/>
  <c r="K18" i="7"/>
  <c r="AI20" i="7"/>
  <c r="AI24" i="7"/>
  <c r="AI25" i="7"/>
  <c r="AI26" i="7"/>
  <c r="AI28" i="7"/>
  <c r="AI29" i="7"/>
  <c r="AI30" i="7"/>
  <c r="AI31" i="7"/>
  <c r="AI32" i="7"/>
  <c r="AI34" i="7"/>
  <c r="AI35" i="7"/>
  <c r="AI36" i="7"/>
  <c r="AI51" i="7"/>
  <c r="AI52" i="7"/>
  <c r="AI38" i="7"/>
  <c r="AI58" i="7"/>
  <c r="AI59" i="7"/>
  <c r="AI60" i="7"/>
  <c r="AI61" i="7"/>
  <c r="AI62" i="7"/>
  <c r="AI63" i="7"/>
  <c r="AI64" i="7"/>
  <c r="AI65" i="7"/>
  <c r="AI37" i="7"/>
  <c r="AI41" i="7"/>
  <c r="AI55" i="7"/>
  <c r="AI42" i="7"/>
  <c r="AI47" i="7"/>
  <c r="AI54" i="7"/>
  <c r="AI21" i="7"/>
  <c r="AI43" i="7"/>
  <c r="AI49" i="7"/>
  <c r="AI50" i="7"/>
  <c r="AI56" i="7"/>
  <c r="AI57" i="7"/>
  <c r="AI39" i="7"/>
  <c r="AI46" i="7"/>
  <c r="AI4" i="7"/>
  <c r="AI22" i="7"/>
  <c r="AI5" i="7"/>
  <c r="AI6" i="7"/>
  <c r="AI8" i="7"/>
  <c r="AI9" i="7"/>
  <c r="AI10" i="7"/>
  <c r="AI11" i="7"/>
  <c r="AI12" i="7"/>
  <c r="AI13" i="7"/>
  <c r="AI15" i="7"/>
  <c r="AI16" i="7"/>
  <c r="AH27" i="7"/>
  <c r="AH7" i="7"/>
  <c r="AH14" i="7"/>
  <c r="AH19" i="7"/>
  <c r="AH23" i="7"/>
  <c r="AH40" i="7"/>
  <c r="AH53" i="7"/>
  <c r="AH68" i="7"/>
  <c r="AH17" i="7"/>
  <c r="AM17" i="7"/>
  <c r="AR17" i="7"/>
  <c r="J18" i="7"/>
  <c r="AH20" i="7"/>
  <c r="AH22" i="7"/>
  <c r="AH24" i="7"/>
  <c r="AH25" i="7"/>
  <c r="AH26" i="7"/>
  <c r="AH28" i="7"/>
  <c r="AH29" i="7"/>
  <c r="AH30" i="7"/>
  <c r="AH31" i="7"/>
  <c r="AH32" i="7"/>
  <c r="AH34" i="7"/>
  <c r="AH35" i="7"/>
  <c r="AH36" i="7"/>
  <c r="AH51" i="7"/>
  <c r="AH52" i="7"/>
  <c r="AH58" i="7"/>
  <c r="AH59" i="7"/>
  <c r="AH60" i="7"/>
  <c r="AH61" i="7"/>
  <c r="AH62" i="7"/>
  <c r="AH63" i="7"/>
  <c r="AH64" i="7"/>
  <c r="AH65" i="7"/>
  <c r="AH21" i="7"/>
  <c r="AH38" i="7"/>
  <c r="AH37" i="7"/>
  <c r="AH43" i="7"/>
  <c r="AH55" i="7"/>
  <c r="AH56" i="7"/>
  <c r="AH57" i="7"/>
  <c r="AH48" i="7"/>
  <c r="AH39" i="7"/>
  <c r="AH46" i="7"/>
  <c r="AH47" i="7"/>
  <c r="AH49" i="7"/>
  <c r="AH41" i="7"/>
  <c r="AH42" i="7"/>
  <c r="AH50" i="7"/>
  <c r="AH54" i="7"/>
  <c r="AH4" i="7"/>
  <c r="AH5" i="7"/>
  <c r="AH6" i="7"/>
  <c r="AH8" i="7"/>
  <c r="AH9" i="7"/>
  <c r="AH10" i="7"/>
  <c r="AH11" i="7"/>
  <c r="AH12" i="7"/>
  <c r="AH13" i="7"/>
  <c r="AH15" i="7"/>
  <c r="AH16" i="7"/>
  <c r="AG7" i="7"/>
  <c r="AG14" i="7"/>
  <c r="AG19" i="7"/>
  <c r="AG23" i="7"/>
  <c r="AG40" i="7"/>
  <c r="AG48" i="7"/>
  <c r="AG68" i="7"/>
  <c r="AG27" i="7"/>
  <c r="AG17" i="7"/>
  <c r="AL17" i="7"/>
  <c r="AQ17" i="7"/>
  <c r="I18" i="7"/>
  <c r="AG20" i="7"/>
  <c r="AG24" i="7"/>
  <c r="AG25" i="7"/>
  <c r="AG26" i="7"/>
  <c r="AG28" i="7"/>
  <c r="AG29" i="7"/>
  <c r="AG30" i="7"/>
  <c r="AG31" i="7"/>
  <c r="AG32" i="7"/>
  <c r="AG34" i="7"/>
  <c r="AG35" i="7"/>
  <c r="AG36" i="7"/>
  <c r="AG51" i="7"/>
  <c r="AG52" i="7"/>
  <c r="AG41" i="7"/>
  <c r="AG58" i="7"/>
  <c r="AG59" i="7"/>
  <c r="AG60" i="7"/>
  <c r="AG61" i="7"/>
  <c r="AG62" i="7"/>
  <c r="AG63" i="7"/>
  <c r="AG64" i="7"/>
  <c r="AG65" i="7"/>
  <c r="AG47" i="7"/>
  <c r="AG55" i="7"/>
  <c r="AG56" i="7"/>
  <c r="AG22" i="7"/>
  <c r="AG39" i="7"/>
  <c r="AG42" i="7"/>
  <c r="AG49" i="7"/>
  <c r="AG53" i="7"/>
  <c r="AG43" i="7"/>
  <c r="AG46" i="7"/>
  <c r="AG21" i="7"/>
  <c r="AG37" i="7"/>
  <c r="AG38" i="7"/>
  <c r="AG54" i="7"/>
  <c r="AG50" i="7"/>
  <c r="AG57" i="7"/>
  <c r="AG4" i="7"/>
  <c r="AG5" i="7"/>
  <c r="AG6" i="7"/>
  <c r="AG8" i="7"/>
  <c r="AG9" i="7"/>
  <c r="AG10" i="7"/>
  <c r="AG11" i="7"/>
  <c r="AG12" i="7"/>
  <c r="AG13" i="7"/>
  <c r="AG15" i="7"/>
  <c r="AG16" i="7"/>
  <c r="AF7" i="7"/>
  <c r="AF14" i="7"/>
  <c r="AF19" i="7"/>
  <c r="AF23" i="7"/>
  <c r="AF27" i="7"/>
  <c r="AF40" i="7"/>
  <c r="AF48" i="7"/>
  <c r="AF68" i="7"/>
  <c r="AF5" i="7"/>
  <c r="AF17" i="7"/>
  <c r="AK17" i="7"/>
  <c r="AP17" i="7"/>
  <c r="H18" i="7"/>
  <c r="AF20" i="7"/>
  <c r="AF24" i="7"/>
  <c r="AF25" i="7"/>
  <c r="AF26" i="7"/>
  <c r="AF28" i="7"/>
  <c r="AF29" i="7"/>
  <c r="AF30" i="7"/>
  <c r="AF31" i="7"/>
  <c r="AF32" i="7"/>
  <c r="AF34" i="7"/>
  <c r="AF35" i="7"/>
  <c r="AF36" i="7"/>
  <c r="AF51" i="7"/>
  <c r="AF52" i="7"/>
  <c r="AF38" i="7"/>
  <c r="AF59" i="7"/>
  <c r="AF60" i="7"/>
  <c r="AF61" i="7"/>
  <c r="AF62" i="7"/>
  <c r="AF63" i="7"/>
  <c r="AF64" i="7"/>
  <c r="AF65" i="7"/>
  <c r="AF37" i="7"/>
  <c r="AF49" i="7"/>
  <c r="AF57" i="7"/>
  <c r="AF47" i="7"/>
  <c r="AF54" i="7"/>
  <c r="AF39" i="7"/>
  <c r="AF41" i="7"/>
  <c r="AF46" i="7"/>
  <c r="AF58" i="7"/>
  <c r="AF21" i="7"/>
  <c r="AF22" i="7"/>
  <c r="AF43" i="7"/>
  <c r="AF50" i="7"/>
  <c r="AF55" i="7"/>
  <c r="AF56" i="7"/>
  <c r="AF42" i="7"/>
  <c r="AF53" i="7"/>
  <c r="AF4" i="7"/>
  <c r="AF6" i="7"/>
  <c r="AF8" i="7"/>
  <c r="AF9" i="7"/>
  <c r="AF10" i="7"/>
  <c r="AF11" i="7"/>
  <c r="AF12" i="7"/>
  <c r="AF13" i="7"/>
  <c r="AF15" i="7"/>
  <c r="AF16" i="7"/>
  <c r="AE7" i="7"/>
  <c r="AE40" i="7"/>
  <c r="AE14" i="7"/>
  <c r="AE19" i="7"/>
  <c r="AE23" i="7"/>
  <c r="AE27" i="7"/>
  <c r="AE48" i="7"/>
  <c r="AE68" i="7"/>
  <c r="AE17" i="7"/>
  <c r="AE18" i="7"/>
  <c r="AE20" i="7"/>
  <c r="AE24" i="7"/>
  <c r="AE25" i="7"/>
  <c r="AE26" i="7"/>
  <c r="AE28" i="7"/>
  <c r="AE29" i="7"/>
  <c r="AE30" i="7"/>
  <c r="AE31" i="7"/>
  <c r="AE32" i="7"/>
  <c r="AE34" i="7"/>
  <c r="AE35" i="7"/>
  <c r="AE36" i="7"/>
  <c r="AE47" i="7"/>
  <c r="AE51" i="7"/>
  <c r="AE52" i="7"/>
  <c r="AE22" i="7"/>
  <c r="AE37" i="7"/>
  <c r="AE59" i="7"/>
  <c r="AE60" i="7"/>
  <c r="AE61" i="7"/>
  <c r="AE62" i="7"/>
  <c r="AE63" i="7"/>
  <c r="AE64" i="7"/>
  <c r="AE65" i="7"/>
  <c r="AE69" i="7"/>
  <c r="AE46" i="7"/>
  <c r="AE43" i="7"/>
  <c r="AE21" i="7"/>
  <c r="AE42" i="7"/>
  <c r="AE50" i="7"/>
  <c r="AE54" i="7"/>
  <c r="AE56" i="7"/>
  <c r="AE39" i="7"/>
  <c r="AE45" i="7"/>
  <c r="AE53" i="7"/>
  <c r="AE57" i="7"/>
  <c r="AE58" i="7"/>
  <c r="AE49" i="7"/>
  <c r="AE38" i="7"/>
  <c r="AE41" i="7"/>
  <c r="AE55" i="7"/>
  <c r="AE4" i="7"/>
  <c r="AE5" i="7"/>
  <c r="AE6" i="7"/>
  <c r="AE8" i="7"/>
  <c r="AE9" i="7"/>
  <c r="AE10" i="7"/>
  <c r="AE11" i="7"/>
  <c r="AE12" i="7"/>
  <c r="AE13" i="7"/>
  <c r="AE15" i="7"/>
  <c r="AE16" i="7"/>
  <c r="AI69" i="7"/>
  <c r="AI3" i="7"/>
  <c r="AI33" i="7"/>
  <c r="AH3" i="7"/>
  <c r="AH69" i="7"/>
  <c r="AH33" i="7"/>
  <c r="AG69" i="7"/>
  <c r="AG3" i="7"/>
  <c r="AG33" i="7"/>
  <c r="AF69" i="7"/>
  <c r="AF3" i="7"/>
  <c r="AF33" i="7"/>
  <c r="AE3" i="7"/>
  <c r="AE33" i="7"/>
  <c r="E58" i="2"/>
  <c r="B20" i="6"/>
  <c r="B19" i="6"/>
  <c r="B38" i="6"/>
  <c r="C37" i="3" l="1"/>
  <c r="C42" i="3" s="1"/>
  <c r="F32" i="3"/>
  <c r="G22" i="3"/>
  <c r="F36" i="3"/>
  <c r="F24" i="3"/>
  <c r="F25" i="3" s="1"/>
  <c r="F34" i="3"/>
  <c r="E26" i="3"/>
  <c r="E35" i="3"/>
  <c r="D31" i="3"/>
  <c r="D33" i="3"/>
  <c r="D37" i="3" s="1"/>
  <c r="D42" i="3" s="1"/>
  <c r="AN45" i="7"/>
  <c r="AS45" i="7"/>
  <c r="AI45" i="7"/>
  <c r="AI66" i="7"/>
  <c r="AN66" i="7"/>
  <c r="AS66" i="7"/>
  <c r="AH45" i="7"/>
  <c r="AR45" i="7"/>
  <c r="AM45" i="7"/>
  <c r="AH66" i="7"/>
  <c r="AM66" i="7"/>
  <c r="AR66" i="7"/>
  <c r="AQ45" i="7"/>
  <c r="AG45" i="7"/>
  <c r="AL45" i="7"/>
  <c r="AG66" i="7"/>
  <c r="AL66" i="7"/>
  <c r="AQ66" i="7"/>
  <c r="AF66" i="7"/>
  <c r="AK66" i="7"/>
  <c r="AP66" i="7"/>
  <c r="AK45" i="7"/>
  <c r="AF45" i="7"/>
  <c r="AP45" i="7"/>
  <c r="AI18" i="7"/>
  <c r="AN18" i="7"/>
  <c r="AS18" i="7"/>
  <c r="AH18" i="7"/>
  <c r="AM18" i="7"/>
  <c r="AR18" i="7"/>
  <c r="AG18" i="7"/>
  <c r="AL18" i="7"/>
  <c r="AQ18" i="7"/>
  <c r="AF18" i="7"/>
  <c r="AK18" i="7"/>
  <c r="AP18" i="7"/>
  <c r="B21" i="6"/>
  <c r="G32" i="3" l="1"/>
  <c r="G36" i="3"/>
  <c r="G24" i="3"/>
  <c r="G25" i="3" s="1"/>
  <c r="G34" i="3"/>
  <c r="E31" i="3"/>
  <c r="E33" i="3"/>
  <c r="E37" i="3" s="1"/>
  <c r="E42" i="3" s="1"/>
  <c r="F35" i="3"/>
  <c r="G35" i="3" l="1"/>
  <c r="F26" i="3"/>
  <c r="G26" i="3"/>
  <c r="F33" i="3" l="1"/>
  <c r="F37" i="3" s="1"/>
  <c r="F31" i="3"/>
  <c r="G31" i="3"/>
  <c r="G33" i="3"/>
  <c r="G37" i="3" s="1"/>
  <c r="D60" i="3" s="1"/>
  <c r="B60" i="3" l="1"/>
  <c r="C59" i="3"/>
  <c r="D59" i="3"/>
  <c r="B59" i="3"/>
  <c r="F42" i="3"/>
  <c r="C60" i="3"/>
  <c r="B44" i="3"/>
  <c r="B45" i="3" s="1"/>
  <c r="G42" i="3"/>
  <c r="B47" i="3" l="1"/>
  <c r="B49" i="3" s="1"/>
  <c r="B51" i="3" s="1"/>
  <c r="B53"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tc={DEE89349-1F05-4506-919C-6CD6B339EE2A}</author>
  </authors>
  <commentList>
    <comment ref="A49" authorId="0" shapeId="0" xr:uid="{DEE89349-1F05-4506-919C-6CD6B339EE2A}">
      <text>
        <t>[Comentario encadenado]
Tu versión de Excel te permite leer este comentario encadenado; sin embargo, las ediciones que se apliquen se quitarán si el archivo se abre en una versión más reciente de Excel. Más información: https://go.microsoft.com/fwlink/?linkid=870924
Comentario:
    https://stockanalysis.com/stocks/v/financials/cash-flow-statement/?utm_source=chatgpt.com</t>
      </text>
    </comment>
  </commentList>
</comments>
</file>

<file path=xl/sharedStrings.xml><?xml version="1.0" encoding="utf-8"?>
<sst xmlns="http://schemas.openxmlformats.org/spreadsheetml/2006/main" count="582" uniqueCount="340">
  <si>
    <t>SUPUESTOS PARA EL MODELO DE FLUJO DE CAJA LIBRE (FCL) - VISA INC.</t>
  </si>
  <si>
    <t>A. DATOS GENERALES</t>
  </si>
  <si>
    <t>Concepto</t>
  </si>
  <si>
    <t>Valor</t>
  </si>
  <si>
    <t>Fuente / Nota</t>
  </si>
  <si>
    <t>Cierre de año fiscal de VISA</t>
  </si>
  <si>
    <t>30-sep</t>
  </si>
  <si>
    <t>10-K de VISA Inc. (SEC EDGAR)</t>
  </si>
  <si>
    <t>Horizonte histórico analizado</t>
  </si>
  <si>
    <t>FY2021-FY2025</t>
  </si>
  <si>
    <t>Taller - Análisis financiero VISA - LyL.xlsx (Balance, PyG)</t>
  </si>
  <si>
    <t>Horizonte de proyección del FCL</t>
  </si>
  <si>
    <t>FY2026-FY2030 (5 años)</t>
  </si>
  <si>
    <t>Supuesto propio, igual al horizonte usado en los ejercicios de clase</t>
  </si>
  <si>
    <t>Ingresos totales 2024 (US$ MM)</t>
  </si>
  <si>
    <t>Taller VISA, hoja PyG - Ingresos totales</t>
  </si>
  <si>
    <t>Ingresos totales 2025 (US$ MM)</t>
  </si>
  <si>
    <t>EBIT 2025 (US$ MM)</t>
  </si>
  <si>
    <t>Taller VISA, hoja PyG - EBIT</t>
  </si>
  <si>
    <t>Margen EBIT 2025</t>
  </si>
  <si>
    <t>Calculado = EBIT 2025 / Ingresos 2025</t>
  </si>
  <si>
    <t>D&amp;A 2025 (US$ MM)</t>
  </si>
  <si>
    <t>Taller VISA, hoja PyG (EBITDA - EBIT = 28,028 - 26,808)</t>
  </si>
  <si>
    <t>% D&amp;A / Ingresos 2025</t>
  </si>
  <si>
    <t>Calculado = D&amp;A 2025 / Ingresos 2025</t>
  </si>
  <si>
    <t>Capex real 2025 (US$ MM)</t>
  </si>
  <si>
    <t>stockanalysis.com, Estado de flujo de efectivo de VISA (basado en 10-K); no se usa el neto de PP&amp;E del Balance porque no discrimina retiros de activos</t>
  </si>
  <si>
    <t>% Capex / Ingresos 2025</t>
  </si>
  <si>
    <t>Calculado = Capex 2025 / Ingresos 2025</t>
  </si>
  <si>
    <t>Cuentas por cobrar 2025 (US$ MM)</t>
  </si>
  <si>
    <t>Taller VISA, hoja Balance</t>
  </si>
  <si>
    <t>Proveedores 2025 (US$ MM)</t>
  </si>
  <si>
    <t>KTNO 2025 (US$ MM) = CxC + Inventario(0) - Proveedores</t>
  </si>
  <si>
    <t>% KTNO / Ingresos 2025</t>
  </si>
  <si>
    <t>Calculado = KTNO 2025 / Ingresos 2025</t>
  </si>
  <si>
    <t>Tasa de impuesto de renta efectiva 2025</t>
  </si>
  <si>
    <t>Taller VISA, hoja EVA (Empresa) = Impuesto de renta / EBT 2025</t>
  </si>
  <si>
    <t>Deuda financiera total 2025 (US$ MM)</t>
  </si>
  <si>
    <t>Taller VISA, hoja Balance / WACC Visa</t>
  </si>
  <si>
    <t>Efectivo y equivalentes 2025 (US$ MM)</t>
  </si>
  <si>
    <t>Deuda neta 2025 (US$ MM)</t>
  </si>
  <si>
    <t>Acciones en circulación 2025 (millones)</t>
  </si>
  <si>
    <t>Taller VISA, hoja Ratios (Acciones en circulación)</t>
  </si>
  <si>
    <t>Precio de mercado 2025 (US$/acción)</t>
  </si>
  <si>
    <t>Taller VISA, hoja Ratios (Precio de mercado)</t>
  </si>
  <si>
    <t>Crecimiento de ingresos FY2026</t>
  </si>
  <si>
    <t>Consenso de analistas: ingresos FY2026 proyectados en ~US$45,000-45,800 MM (Yahoo Finance / Stockanalysis.com forecast, sep-2026)</t>
  </si>
  <si>
    <t>Crecimiento de ingresos FY2027</t>
  </si>
  <si>
    <t>Consenso de analistas: ingresos FY2027 proyectados en ~US$49,700-50,600 MM (Yahoo Finance / Stockanalysis.com forecast, sep-2026)</t>
  </si>
  <si>
    <t>Crecimiento de ingresos FY2028</t>
  </si>
  <si>
    <t>Supuesto propio: desaceleración gradual hacia el crecimiento de largo plazo de una empresa madura de gran capitalización</t>
  </si>
  <si>
    <t>Crecimiento de ingresos FY2029</t>
  </si>
  <si>
    <t>Supuesto propio: continúa la convergencia gradual del crecimiento</t>
  </si>
  <si>
    <t>Crecimiento de ingresos FY2030</t>
  </si>
  <si>
    <t>Margen EBIT proyectado (constante FY26-FY30)</t>
  </si>
  <si>
    <t>Supuesto propio: se mantiene el margen operativo 2025 dado el modelo de negocio de red de pagos, altamente escalable y con costos incrementales bajos</t>
  </si>
  <si>
    <t>% D&amp;A / Ingresos proyectado (constante)</t>
  </si>
  <si>
    <t>Supuesto propio: la depreciación y amortización se mantiene proporcional a los ingresos</t>
  </si>
  <si>
    <t>% Capex / Ingresos proyectado (constante)</t>
  </si>
  <si>
    <t>Supuesto propio: la inversión en activos fijos se mantiene proporcional al crecimiento del negocio</t>
  </si>
  <si>
    <t>% KTNO / Ingresos proyectado (constante)</t>
  </si>
  <si>
    <t>Supuesto propio: la necesidad de capital de trabajo neto operativo se mantiene proporcional a los ingresos</t>
  </si>
  <si>
    <t>Tasa de impuesto de renta proyectada (constante)</t>
  </si>
  <si>
    <t>Supuesto propio: se mantiene la tasa efectiva de 2025</t>
  </si>
  <si>
    <t>WACC (método Empresa - beta de regresión) usado para descontar el FCL</t>
  </si>
  <si>
    <t>Taller VISA, hoja 'WACC Visa' (panel 'Empresa')</t>
  </si>
  <si>
    <t>WACC (método Sector - beta apalancada Damodaran), alterno para sensibilidad</t>
  </si>
  <si>
    <t>Taller VISA, hoja 'WACC Visa' (panel 'Sector')</t>
  </si>
  <si>
    <t>Tasa de crecimiento a perpetuidad (g)</t>
  </si>
  <si>
    <t>Supuesto propio: cercana al crecimiento nominal de largo plazo de la economía global; debe ser menor al WACC para que el valor terminal converja</t>
  </si>
  <si>
    <t>FLUJO DE CAJA LIBRE HISTÓRICO - VISA INC. (FY2021-FY2025)</t>
  </si>
  <si>
    <t>2021</t>
  </si>
  <si>
    <t>2022</t>
  </si>
  <si>
    <t>2023</t>
  </si>
  <si>
    <t>2024</t>
  </si>
  <si>
    <t>2025</t>
  </si>
  <si>
    <t>Ingresos totales</t>
  </si>
  <si>
    <t>EBIT (Utilidad Operacional)</t>
  </si>
  <si>
    <t>EBITDA</t>
  </si>
  <si>
    <t>Tasa de impuesto de renta efectiva</t>
  </si>
  <si>
    <t>Capex real (fuente stockanalysis.com, CFI)</t>
  </si>
  <si>
    <t>Cuentas por cobrar</t>
  </si>
  <si>
    <t>Inventario</t>
  </si>
  <si>
    <t>Proveedores</t>
  </si>
  <si>
    <t>CÁLCULO DEL KTNO</t>
  </si>
  <si>
    <t>KTNO = Cuentas por cobrar + Inventario - Proveedores</t>
  </si>
  <si>
    <t>Variación del KTNO (inversión incremental)</t>
  </si>
  <si>
    <t>ESTADO DE RESULTADOS Y FLUJO DE CAJA LIBRE HISTÓRICO (millones US$)</t>
  </si>
  <si>
    <t>(-) Impuesto de renta (Tasa efectiva x EBIT)</t>
  </si>
  <si>
    <t>→ UODI (Utilidad Operativa Después de Impuestos)</t>
  </si>
  <si>
    <t>(+) Depreciación y amortización (D&amp;A = EBITDA - EBIT)</t>
  </si>
  <si>
    <t>(-) Inversión incremental del KTNO</t>
  </si>
  <si>
    <t>(-) Capex (inversión en activos fijos)</t>
  </si>
  <si>
    <t>→ FLUJO DE CAJA LIBRE (FCL)</t>
  </si>
  <si>
    <t>2022/2021</t>
  </si>
  <si>
    <t>2023/2022</t>
  </si>
  <si>
    <t>2024/2023</t>
  </si>
  <si>
    <t>2025/2024</t>
  </si>
  <si>
    <t>Crecimiento de ingresos</t>
  </si>
  <si>
    <t>Crecimiento del FCL</t>
  </si>
  <si>
    <t>FLUJO DE CAJA LIBRE PROYECTADO Y VALORACIÓN - VISA INC. (FY2026-FY2030)</t>
  </si>
  <si>
    <t>PROYECCIÓN DE INGRESOS Y UAII (UODI)</t>
  </si>
  <si>
    <t>2025 (real)</t>
  </si>
  <si>
    <t>FY2026</t>
  </si>
  <si>
    <t>FY2027</t>
  </si>
  <si>
    <t>FY2028</t>
  </si>
  <si>
    <t>FY2029</t>
  </si>
  <si>
    <t>FY2030</t>
  </si>
  <si>
    <t>FLUJO DE CAJA LIBRE PROYECTADO</t>
  </si>
  <si>
    <t>(+) Depreciación y amortización (D&amp;A)</t>
  </si>
  <si>
    <t>KTNO (Ingresos x % KTNO supuesto)</t>
  </si>
  <si>
    <t>(-) Variación del KTNO (inversión incremental)</t>
  </si>
  <si>
    <t>(-) Capex (Ingresos x % Capex supuesto)</t>
  </si>
  <si>
    <t>VALORACIÓN POR FLUJO DE CAJA DESCONTADO (DCF) - MÉTODO EMPRESA</t>
  </si>
  <si>
    <t>Factor de descuento = 1/(1+WACC)^n</t>
  </si>
  <si>
    <t>Valor presente del FCL</t>
  </si>
  <si>
    <t>Valor terminal (Gordon) = FCL FY2030 x (1+g) / (WACC - g)</t>
  </si>
  <si>
    <t>Valor presente del valor terminal</t>
  </si>
  <si>
    <t>→ VALOR DE LA EMPRESA (EV) = Σ VP(FCL) + VP(Valor Terminal)</t>
  </si>
  <si>
    <t>(-) Deuda neta 2025 (Deuda financiera - Efectivo)</t>
  </si>
  <si>
    <t>→ VALOR DEL PATRIMONIO (Equity Value)</t>
  </si>
  <si>
    <t>→ VALOR INTRÍNSECO POR ACCIÓN (DCF)</t>
  </si>
  <si>
    <t>Precio de mercado 2025 (referencia)</t>
  </si>
  <si>
    <t>Upside / (downside) del valor intrínseco vs. precio de mercado</t>
  </si>
  <si>
    <t>ANÁLISIS DE SENSIBILIDAD - VALOR INTRÍNSECO POR ACCIÓN (US$/acción)</t>
  </si>
  <si>
    <t>WACC \ g</t>
  </si>
  <si>
    <t>WACC Empresa</t>
  </si>
  <si>
    <t>WACC Sector</t>
  </si>
  <si>
    <t>SUPUESTOS PARA EL ANÁLISIS DE APALANCAMIENTO - VISA INC.</t>
  </si>
  <si>
    <t>A. DATOS BASE - AÑO FISCAL 2025 (PyG de VISA)</t>
  </si>
  <si>
    <t>Taller VISA, hoja PyG</t>
  </si>
  <si>
    <t>Coste de los ingresos 2025 (US$ MM)</t>
  </si>
  <si>
    <t>Taller VISA, hoja PyG - Coste de los ingresos</t>
  </si>
  <si>
    <t>Total de otros gastos operativos 2025 (US$ MM) [SG&amp;A + D&amp;A]</t>
  </si>
  <si>
    <t>Taller VISA, hoja PyG - Total de otros gastos operativos</t>
  </si>
  <si>
    <t>EBIT 2025 verificado = Ventas - Costo Variable - Costo Fijo</t>
  </si>
  <si>
    <t>Debe coincidir con el EBIT reportado en el PyG (US$26,808 MM)</t>
  </si>
  <si>
    <t>Gastos financieros (intereses) 2025 (US$ MM)</t>
  </si>
  <si>
    <t>Taller VISA, hoja PyG - Total de gastos de intereses</t>
  </si>
  <si>
    <t>Taller VISA, hoja EVA (Empresa)</t>
  </si>
  <si>
    <t>Taller VISA, hoja Ratios</t>
  </si>
  <si>
    <t>B. CLASIFICACIÓN DE COSTOS EN VARIABLES Y FIJOS (supuesto propio)</t>
  </si>
  <si>
    <t>• Costo variable = 'Coste de los ingresos' (costos de procesamiento y de la red que se incurren por cada transacción/volumen procesado).
• Costo fijo = 'Total de otros gastos operativos' (SG&amp;A, D&amp;A y otros gastos operativos), que no varían directamente con el volumen transaccional en el corto plazo.
Esta clasificación es consistente con el modelo de negocio de VISA, ampliamente reconocido como un negocio de altísimo apalancamiento operativo: su costo de los ingresos históricamente representa entre 2% y 3% de las ventas, mientras la gran mayoría de la estructura de costos es de naturaleza fija/semifija.</t>
  </si>
  <si>
    <t>C. ESCENARIO DE FINANCIAMIENTO MARGINAL (para el punto de indiferencia UPA: Deuda vs. Patrimonio)</t>
  </si>
  <si>
    <t>Necesidad de financiamiento adicional (US$ MM)</t>
  </si>
  <si>
    <t>Supuesto propio: monto hipotético para un proyecto de expansión / adquisición o programa de recompra de acciones adicional</t>
  </si>
  <si>
    <t>Tasa de interés de la deuda nueva (Kd, antes de impuestos)</t>
  </si>
  <si>
    <t>Igual al Kd usado en el Taller VISA, hoja 'WACC Visa' (costo de la deuda de VISA)</t>
  </si>
  <si>
    <t>Precio de emisión de las acciones nuevas (Opción A)</t>
  </si>
  <si>
    <t>Supuesto propio: se emiten al precio de mercado 2025, sin descuento por colocación</t>
  </si>
  <si>
    <t>APALANCAMIENTO OPERATIVO Y FINANCIERO - VISA INC. (FY2025)</t>
  </si>
  <si>
    <t>Ventas (Ingresos totales) 2025</t>
  </si>
  <si>
    <t>Costos Variables 2025 (Coste de los ingresos)</t>
  </si>
  <si>
    <t>Costos Fijos 2025 (SG&amp;A + D&amp;A + otros)</t>
  </si>
  <si>
    <t>Gastos financieros (intereses) 2025</t>
  </si>
  <si>
    <t>Margen de Contribución = Ventas - Costos Variables</t>
  </si>
  <si>
    <t>% Margen de Contribución sobre Ventas</t>
  </si>
  <si>
    <t>→ PUNTO DE EQUILIBRIO (en ingresos) = Costos Fijos / % Margen de Contribución</t>
  </si>
  <si>
    <t>b) GRADO DE APALANCAMIENTO OPERATIVO (GAO) 2025 -&gt; GAO = Margen de Contribución / EBIT</t>
  </si>
  <si>
    <t>→ GAO 2025</t>
  </si>
  <si>
    <t>Interpretación: por cada 1% de variación en las ventas, el EBIT varía en (GAO x 1%)</t>
  </si>
  <si>
    <t>Comprobación del GAO (duplicando las ventas, igual que en el ejercicio de clase)</t>
  </si>
  <si>
    <t>Base (2025)</t>
  </si>
  <si>
    <t>Ventas x2</t>
  </si>
  <si>
    <t>Ventas</t>
  </si>
  <si>
    <t>Costos Variables (% Ventas constante)</t>
  </si>
  <si>
    <t>Costos Fijos</t>
  </si>
  <si>
    <t>EBIT</t>
  </si>
  <si>
    <t>% Variación en Ventas</t>
  </si>
  <si>
    <t>% Variación en el EBIT</t>
  </si>
  <si>
    <t>GAO verificado = %ΔEBIT / %ΔVentas</t>
  </si>
  <si>
    <t>c) GRADO DE APALANCAMIENTO FINANCIERO (GAF) 2025 -&gt; GAF = EBIT / (EBIT - Intereses)</t>
  </si>
  <si>
    <t>EBIT 2025</t>
  </si>
  <si>
    <t>(-) Intereses 2025</t>
  </si>
  <si>
    <t>→ UAI (Utilidad Antes de Impuestos)</t>
  </si>
  <si>
    <t>→ GAF 2025</t>
  </si>
  <si>
    <t>Interpretación: por cada 1% de variación en el EBIT, la utilidad antes de impuestos varía en (GAF x 1%)</t>
  </si>
  <si>
    <t>d) GRADO DE APALANCAMIENTO TOTAL (GCT) = GAO x GAF</t>
  </si>
  <si>
    <t>→ GCT 2025</t>
  </si>
  <si>
    <t>e) VERIFICACIÓN CON EL CAMBIO REAL DE VENTAS 2024→2025 (Análisis Horizontal)</t>
  </si>
  <si>
    <t>EBIT real reportado (Taller VISA, hoja PyG)</t>
  </si>
  <si>
    <t>% Variación real de Ventas 2024→2025</t>
  </si>
  <si>
    <t>% Variación real del EBIT 2024→2025</t>
  </si>
  <si>
    <t>GAO implícito real = %ΔEBIT real / %ΔVentas real</t>
  </si>
  <si>
    <t>Nota: el GAO 'implícito real' (calculado con el cambio efectivo de ventas y EBIT entre 2024 y 2025) puede diferir del GAO teórico (b), porque en la realidad los costos fijos y el mix de ingresos también cambiaron de un año a otro; el GAO teórico asume una estructura de costos constante, como en el ejercicio de clase.</t>
  </si>
  <si>
    <t>UPA: PUNTO DE INDIFERENCIA ENTRE DEUDA Y EMISIÓN DE ACCIONES - VISA INC.</t>
  </si>
  <si>
    <t>DATOS DEL ESCENARIO (enlazados desde Supuestos Apalancamiento)</t>
  </si>
  <si>
    <t>Tasa de interés de la deuda nueva (Kd pretax)</t>
  </si>
  <si>
    <t>Precio de emisión de acciones nuevas (US$/acción)</t>
  </si>
  <si>
    <t>Acciones en circulación 2025 (millones) [Opción B - Deuda, N_B]</t>
  </si>
  <si>
    <t>Intereses de la deuda YA existente 2025 (US$ MM)</t>
  </si>
  <si>
    <t>Intereses de la deuda NUEVA (Opción B) = Monto x Kd</t>
  </si>
  <si>
    <t>Acciones nuevas emitidas (Opción A) = Monto / Precio de emisión (millones)</t>
  </si>
  <si>
    <t>→ Acciones totales Opción A (Capital Propio, N_A) = N_B + Acciones nuevas</t>
  </si>
  <si>
    <t>PUNTO DE INDIFERENCIA (EBIT*): UPA Opción A = UPA Opción B</t>
  </si>
  <si>
    <t>→ EBIT* (punto de indiferencia, US$ MM)</t>
  </si>
  <si>
    <t>Comprobación - UPA Opción A en EBIT*</t>
  </si>
  <si>
    <t>Comprobación - UPA Opción B en EBIT*</t>
  </si>
  <si>
    <t>Diferencia (debe ser ≈ 0)</t>
  </si>
  <si>
    <t>TABLA UPA POR NIVEL DE EBIT: CAPITAL PROPIO (OPCIÓN A) VS. DEUDA (OPCIÓN B)</t>
  </si>
  <si>
    <t>EBIT (US$ MM)</t>
  </si>
  <si>
    <t>UAI Opción A</t>
  </si>
  <si>
    <t>Utilidad Neta A</t>
  </si>
  <si>
    <t>UPA Opción A (US$)</t>
  </si>
  <si>
    <t>UAI Opción B</t>
  </si>
  <si>
    <t>Utilidad Neta B</t>
  </si>
  <si>
    <t>UPA Opción B (US$)</t>
  </si>
  <si>
    <t>La fila resaltada corresponde al EBIT real de VISA en FY2025 (US$26,808 MM).</t>
  </si>
  <si>
    <t>CONCLUSIÓN</t>
  </si>
  <si>
    <t>EBIT real 2025 vs. EBIT* de indiferencia:</t>
  </si>
  <si>
    <t>Dado que el EBIT real de VISA en 2025 (US$26,808 MM) supera ampliamente el EBIT* de indiferencia calculado, financiar la necesidad adicional de US$5,000 MM con deuda nueva produce una UPA marginalmente mayor que emitir acciones nuevas al precio de mercado. Sin embargo, la diferencia es pequeña (ver tabla), lo cual es consistente con que VISA es una empresa de bajísimo apalancamiento financiero relativo a su generación de utilidad operativa (GAF≈1.02x, ver hoja 'Apalancamiento GAO-GAF'): a este nivel de rentabilidad, la decisión de financiamiento afecta poco la UPA, y otros factores (dilución, flexibilidad financiera, mantenimiento de la calificación crediticia) pesan tanto como el efecto aritmético sobre la UPA.</t>
  </si>
  <si>
    <t>Metodología igual a los ejercicios vistos en clase, extendida para incorporar los intereses de la deuda ya existente de VISA (589 US$ MM en 2025), y no solo los de la deuda nueva, ya que a diferencia de los ejercicios de clase VISA es una empresa en marcha con deuda previa.</t>
  </si>
  <si>
    <t>C. SUPUESTOS DE PROYECCIÓN FY2026-FY2030</t>
  </si>
  <si>
    <t>B. DATOS BASE - AÑO FISCAL 2025</t>
  </si>
  <si>
    <t>CIFRAS DE ESTADOS FINANCIEROS</t>
  </si>
  <si>
    <t xml:space="preserve">CRECIMIENTO DEL FCL Y DE LOS INGRESOS </t>
  </si>
  <si>
    <t>FLUJO DE CAJA LIBRE (FCL) PROYECTADO</t>
  </si>
  <si>
    <t>(+) Inventario</t>
  </si>
  <si>
    <t>(-) Proveedores</t>
  </si>
  <si>
    <t>ESTADO DE SITUACION FINANCIERA</t>
  </si>
  <si>
    <t>ANÁLISIS VERTICAL (% del Activo Total)</t>
  </si>
  <si>
    <t>ANÁLISIS HORIZONTAL - Variación absoluta</t>
  </si>
  <si>
    <t>ANÁLISIS HORIZONTAL - Variación %</t>
  </si>
  <si>
    <t>Total del activo corriente</t>
  </si>
  <si>
    <t>Efectivo y equivalentes</t>
  </si>
  <si>
    <t>Crecimiento de efectivo y equivalentes</t>
  </si>
  <si>
    <t>Inversiones a corto plazo</t>
  </si>
  <si>
    <t>Créditos totales</t>
  </si>
  <si>
    <t>Total de cuentas por cobrar</t>
  </si>
  <si>
    <t>Otros créditos</t>
  </si>
  <si>
    <t>-</t>
  </si>
  <si>
    <t>Gastos pagados por adelantado</t>
  </si>
  <si>
    <t>División financiera, préstamos y arrendamientos corrientes</t>
  </si>
  <si>
    <t>División financiera, total de otros activos corrientes</t>
  </si>
  <si>
    <t>Otros activos corrientes</t>
  </si>
  <si>
    <t>Efectivo restringido</t>
  </si>
  <si>
    <t>Total de otros activos corrientes</t>
  </si>
  <si>
    <t>Activos totales</t>
  </si>
  <si>
    <t>Crecimiento de activos totales</t>
  </si>
  <si>
    <t>Planta, propiedad y equipo, neto</t>
  </si>
  <si>
    <t>Inmovilizado material bruto</t>
  </si>
  <si>
    <t>Amortización acumulada</t>
  </si>
  <si>
    <t>Inversiones a largo plazo</t>
  </si>
  <si>
    <t>Activos intangibles</t>
  </si>
  <si>
    <t>Fondo de comercio</t>
  </si>
  <si>
    <t>Otros intangibles, total</t>
  </si>
  <si>
    <t>División financiera, préstamos y arrendamientos a largo plazo</t>
  </si>
  <si>
    <t>Total de otros activos</t>
  </si>
  <si>
    <t>Préstamos por cobrar a largo plazo</t>
  </si>
  <si>
    <t>Cuentas por cobrar a largo plazo</t>
  </si>
  <si>
    <t>Activos por impuestos diferidos a largo plazo</t>
  </si>
  <si>
    <t>Cargos diferidos a largo plazo</t>
  </si>
  <si>
    <t>Total de otros activos a largo plazo</t>
  </si>
  <si>
    <t>Total del pasivo corriente</t>
  </si>
  <si>
    <t>Total de cuentas por pagar</t>
  </si>
  <si>
    <t>Total de gastos devengados</t>
  </si>
  <si>
    <t>Préstamos a corto plazo</t>
  </si>
  <si>
    <t>Parte actual de la deuda a largo plazo/arrendamientos</t>
  </si>
  <si>
    <t>Parte actual de la deuda a largo plazo</t>
  </si>
  <si>
    <t>Parte actual de arrendamientos</t>
  </si>
  <si>
    <t>Total de otros pasivos corrientes</t>
  </si>
  <si>
    <t>Impuestos corrientes sobre la renta a pagar</t>
  </si>
  <si>
    <t>total de ingresos corrientes no devengados</t>
  </si>
  <si>
    <t>Otros pasivos corrientes</t>
  </si>
  <si>
    <t>Pasivo total</t>
  </si>
  <si>
    <t>Crecimiento del pasivo total</t>
  </si>
  <si>
    <t>Deuda a largo plazo</t>
  </si>
  <si>
    <t>Arrendamientos a largo plazo</t>
  </si>
  <si>
    <t>Total de otros pasivos</t>
  </si>
  <si>
    <t>Ingresos no devengados no corrientes</t>
  </si>
  <si>
    <t>Pensiones y otras prestaciones posteriores a la jubilación</t>
  </si>
  <si>
    <t>Pasivos por impuestos no corrientes diferidos</t>
  </si>
  <si>
    <t>Otros pasivos no corrientes</t>
  </si>
  <si>
    <t>Patrimonio neto</t>
  </si>
  <si>
    <t>Total de acciones preferentes</t>
  </si>
  <si>
    <t>Acciones preferentes reembolsables</t>
  </si>
  <si>
    <t>Acciones preferentes no reembolsables</t>
  </si>
  <si>
    <t>Acciones preferentes convertibles</t>
  </si>
  <si>
    <t>Acciones ordinarias y APIC</t>
  </si>
  <si>
    <t>Total de acciones ordinarias</t>
  </si>
  <si>
    <t>Capital pagado adicional</t>
  </si>
  <si>
    <t>Ganancias retenidas</t>
  </si>
  <si>
    <t>Acciones propias y otras</t>
  </si>
  <si>
    <t>Acciones propias</t>
  </si>
  <si>
    <t>Ingresos globales y otros</t>
  </si>
  <si>
    <t>Intereses minoritarios</t>
  </si>
  <si>
    <t>Total del pasivo y del patrimonio neto</t>
  </si>
  <si>
    <t>Deuda total</t>
  </si>
  <si>
    <t>Crecimiento de la deuda total</t>
  </si>
  <si>
    <t>ESTADO DE RESULTADO</t>
  </si>
  <si>
    <t>ANÁLISIS VERTICAL (% de Ingresos Totales)</t>
  </si>
  <si>
    <t>Crecimiento de los ingresos totales</t>
  </si>
  <si>
    <t>Coste de los ingresos</t>
  </si>
  <si>
    <t>Beneficio bruto</t>
  </si>
  <si>
    <t>Crecimiento del beneficio bruto</t>
  </si>
  <si>
    <t>Margen de beneficio bruto %</t>
  </si>
  <si>
    <t>Total de otros gastos operativos</t>
  </si>
  <si>
    <t>Crecmiento total de otros gastos operativos</t>
  </si>
  <si>
    <t>Gastos de I+D</t>
  </si>
  <si>
    <t>Gastos de venta, generales y administrativos</t>
  </si>
  <si>
    <t>Otros gastos operativos</t>
  </si>
  <si>
    <t>Margen neto</t>
  </si>
  <si>
    <t>Crecimiento del margen neto</t>
  </si>
  <si>
    <t>Margen EBIT %</t>
  </si>
  <si>
    <t>Gastos netos por intereses</t>
  </si>
  <si>
    <t>Crecimiento de gastos netos por intereses</t>
  </si>
  <si>
    <t>Total de gastos de intereses</t>
  </si>
  <si>
    <t>Ingresos por intereses e inversiones</t>
  </si>
  <si>
    <t>Total de otros gastos no operativos</t>
  </si>
  <si>
    <t>EBT excepto elementos no habituales</t>
  </si>
  <si>
    <t>Ganancia (pérdida) de la venta de activos</t>
  </si>
  <si>
    <t>Total de otras partidas no habituales</t>
  </si>
  <si>
    <t>EBT incluyendo las partidas inusuales</t>
  </si>
  <si>
    <t>Crecimiento del EBT incluidas las partidas inusuales</t>
  </si>
  <si>
    <t>Margen del EBT incluidas las partidas inusuales</t>
  </si>
  <si>
    <t>Impuesto sobre la renta</t>
  </si>
  <si>
    <t>Beneficios netos para la empresa</t>
  </si>
  <si>
    <t>Beneficio neto</t>
  </si>
  <si>
    <t>Crecimiento del beneficio neto</t>
  </si>
  <si>
    <t>Margen del beneficio neto %</t>
  </si>
  <si>
    <t>Dividendo preferente y otros ajustes</t>
  </si>
  <si>
    <t>Beneficio neto sobre ingresos ordinarios</t>
  </si>
  <si>
    <t>BPA básico: Crecimiento de actividades continuadas</t>
  </si>
  <si>
    <t>BPA básico: crecimiento de actividades continuadas</t>
  </si>
  <si>
    <t>BPA diluido: Crecimiento de actividades continuadas</t>
  </si>
  <si>
    <t>BPA diluido: Actividades continuadas</t>
  </si>
  <si>
    <t>Promedio ponderado básico de acciones en circulación</t>
  </si>
  <si>
    <t>Promedio ponderado diluido de acciones en circulación</t>
  </si>
  <si>
    <t>Dividendo por acción</t>
  </si>
  <si>
    <t>Crecimiento del dividendo por acción</t>
  </si>
  <si>
    <t>Crecimiento del EBITDA</t>
  </si>
  <si>
    <t>Margen EBITDA %</t>
  </si>
  <si>
    <t>UODI (Utilidad Operativa Después de Impuestos)</t>
  </si>
  <si>
    <t>EBIT (Ingresos x Margen EBIT)</t>
  </si>
  <si>
    <t>Flujo de Caja Bruto</t>
  </si>
  <si>
    <t>Utilidad Operativa Después de Impuestos (UODI)</t>
  </si>
  <si>
    <t>SUPUESTOS DE PROYECCIÓN FY2026-FY2030</t>
  </si>
  <si>
    <t>DATOS DEL ENUNCIADO</t>
  </si>
  <si>
    <t>EBIT (Utilidad Operativa) = Margen de Contribución - Costos Fijos</t>
  </si>
  <si>
    <t>Cálculo del punto de equilibrio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</si>
</sst>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quot;-&quot;"/>
    <numFmt numFmtId="165" formatCode="0.0%"/>
    <numFmt numFmtId="166" formatCode="#,##0;\(#,##0\);&quot;-&quot;"/>
    <numFmt numFmtId="167" formatCode="\$#,##0.00;\(\$#,##0.00\);&quot;-&quot;"/>
    <numFmt numFmtId="168" formatCode="#,##0.00;\(#,##0.00\);&quot;-&quot;"/>
    <numFmt numFmtId="169" formatCode="0.00&quot;x&quot;"/>
    <numFmt numFmtId="170" formatCode="#,##0;\(#,##0\);\-"/>
    <numFmt numFmtId="171" formatCode="#,##0.00;\(#,##0.00\);\-"/>
  </numFmts>
  <fonts count="27" x14ac:knownFonts="1">
    <font>
      <sz val="11"/>
      <color theme="1"/>
      <name val="Calibri"/>
      <family val="2"/>
      <scheme val="minor"/>
    </font>
    <font>
      <b/>
      <sz val="14"/>
      <color rgb="FF1F4E78"/>
      <name val="Arial"/>
      <family val="2"/>
    </font>
    <font>
      <i/>
      <sz val="10"/>
      <color rgb="FF595959"/>
      <name val="Arial"/>
      <family val="2"/>
    </font>
    <font>
      <b/>
      <sz val="10"/>
      <name val="Arial"/>
      <family val="2"/>
    </font>
    <font>
      <b/>
      <sz val="11"/>
      <color rgb="FFFFFFFF"/>
      <name val="Arial"/>
      <family val="2"/>
    </font>
    <font>
      <sz val="10"/>
      <color rgb="FF000000"/>
      <name val="Arial"/>
      <family val="2"/>
    </font>
    <font>
      <sz val="10"/>
      <color rgb="FF0000FF"/>
      <name val="Arial"/>
      <family val="2"/>
    </font>
    <font>
      <sz val="10"/>
      <color rgb="FF008000"/>
      <name val="Arial"/>
      <family val="2"/>
    </font>
    <font>
      <sz val="10"/>
      <name val="Arial"/>
      <family val="2"/>
    </font>
    <font>
      <sz val="11"/>
      <name val="Calibri"/>
      <family val="2"/>
      <scheme val="minor"/>
    </font>
    <font>
      <i/>
      <sz val="10"/>
      <name val="Arial"/>
      <family val="2"/>
    </font>
    <font>
      <sz val="11"/>
      <color theme="1"/>
      <name val="Calibri"/>
      <family val="2"/>
      <scheme val="minor"/>
    </font>
    <font>
      <b/>
      <sz val="11"/>
      <name val="Arial"/>
      <family val="2"/>
    </font>
    <font>
      <b/>
      <sz val="10"/>
      <color rgb="FF000000"/>
      <name val="Arial"/>
      <family val="2"/>
    </font>
    <font>
      <sz val="11"/>
      <color theme="1"/>
      <name val="Aptos Narrow"/>
      <family val="2"/>
      <charset val="1"/>
    </font>
    <font>
      <b/>
      <sz val="11"/>
      <color theme="0"/>
      <name val="Segoe UI"/>
      <family val="2"/>
      <charset val="1"/>
    </font>
    <font>
      <sz val="11"/>
      <color rgb="FF232526"/>
      <name val="Segoe UI"/>
      <family val="2"/>
      <charset val="1"/>
    </font>
    <font>
      <b/>
      <sz val="11"/>
      <color rgb="FFFFFFFF"/>
      <name val="Segoe UI"/>
      <family val="2"/>
      <charset val="1"/>
    </font>
    <font>
      <sz val="11"/>
      <color rgb="FF5B616E"/>
      <name val="Segoe UI"/>
      <family val="2"/>
      <charset val="1"/>
    </font>
    <font>
      <b/>
      <sz val="11"/>
      <color rgb="FF232526"/>
      <name val="Segoe UI"/>
      <family val="2"/>
      <charset val="1"/>
    </font>
    <font>
      <u/>
      <sz val="11"/>
      <color theme="10"/>
      <name val="Aptos Narrow"/>
      <family val="2"/>
      <charset val="1"/>
    </font>
    <font>
      <sz val="11"/>
      <color theme="1"/>
      <name val="Segoe UI"/>
      <family val="2"/>
      <charset val="1"/>
    </font>
    <font>
      <sz val="11"/>
      <color rgb="FF007C32"/>
      <name val="Segoe UI"/>
      <family val="2"/>
      <charset val="1"/>
    </font>
    <font>
      <sz val="11"/>
      <color rgb="FFD91400"/>
      <name val="Segoe UI"/>
      <family val="2"/>
      <charset val="1"/>
    </font>
    <font>
      <b/>
      <sz val="11"/>
      <name val="Segoe UI"/>
      <family val="2"/>
      <charset val="1"/>
    </font>
    <font>
      <sz val="11"/>
      <color theme="0"/>
      <name val="Segoe UI"/>
      <family val="2"/>
      <charset val="1"/>
    </font>
    <font>
      <sz val="11"/>
      <color theme="0"/>
      <name val="Aptos Narrow"/>
      <family val="2"/>
      <charset val="1"/>
    </font>
  </fonts>
  <fills count="10">
    <fill>
      <patternFill patternType="none"/>
    </fill>
    <fill>
      <patternFill patternType="gray125"/>
    </fill>
    <fill>
      <patternFill patternType="solid">
        <fgColor rgb="FFD9E1F2"/>
      </patternFill>
    </fill>
    <fill>
      <patternFill patternType="solid">
        <fgColor rgb="FF1F4E78"/>
      </patternFill>
    </fill>
    <fill>
      <patternFill patternType="solid">
        <fgColor rgb="FFFFFF00"/>
      </patternFill>
    </fill>
    <fill>
      <patternFill patternType="solid">
        <fgColor rgb="FFF2F2F2"/>
      </patternFill>
    </fill>
    <fill>
      <patternFill patternType="solid">
        <fgColor theme="0"/>
        <bgColor indexed="64"/>
      </patternFill>
    </fill>
    <fill>
      <patternFill patternType="solid">
        <fgColor rgb="FF002060"/>
        <bgColor rgb="FF1F3864"/>
      </patternFill>
    </fill>
    <fill>
      <patternFill patternType="solid">
        <fgColor theme="0"/>
        <bgColor rgb="FFFBE3D6"/>
      </patternFill>
    </fill>
    <fill>
      <patternFill patternType="solid">
        <fgColor rgb="FFD9E1F2"/>
        <bgColor rgb="FFD9DCDF"/>
      </patternFill>
    </fill>
  </fills>
  <borders count="22">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rgb="FFD9DCDF"/>
      </bottom>
      <diagonal/>
    </border>
    <border>
      <left/>
      <right/>
      <top style="thin">
        <color rgb="FFB7B7B7"/>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style="medium">
        <color rgb="FFD9DCDF"/>
      </top>
      <bottom/>
      <diagonal/>
    </border>
    <border>
      <left style="thin">
        <color indexed="64"/>
      </left>
      <right/>
      <top style="thin">
        <color indexed="64"/>
      </top>
      <bottom style="thin">
        <color rgb="FFBFBFBF"/>
      </bottom>
      <diagonal/>
    </border>
    <border>
      <left/>
      <right style="thin">
        <color indexed="64"/>
      </right>
      <top style="thin">
        <color indexed="64"/>
      </top>
      <bottom style="thin">
        <color rgb="FFBFBFBF"/>
      </bottom>
      <diagonal/>
    </border>
    <border>
      <left style="thin">
        <color indexed="64"/>
      </left>
      <right style="thin">
        <color rgb="FFBFBFBF"/>
      </right>
      <top style="thin">
        <color rgb="FFBFBFBF"/>
      </top>
      <bottom/>
      <diagonal/>
    </border>
    <border>
      <left style="thin">
        <color rgb="FFBFBFBF"/>
      </left>
      <right style="thin">
        <color indexed="64"/>
      </right>
      <top style="thin">
        <color rgb="FFBFBFBF"/>
      </top>
      <bottom/>
      <diagonal/>
    </border>
    <border>
      <left style="thin">
        <color rgb="FFBFBFBF"/>
      </left>
      <right/>
      <top style="thin">
        <color rgb="FFBFBFBF"/>
      </top>
      <bottom/>
      <diagonal/>
    </border>
  </borders>
  <cellStyleXfs count="4">
    <xf numFmtId="0" fontId="0" fillId="0" borderId="0"/>
    <xf numFmtId="43" fontId="11" fillId="0" borderId="0" applyFont="0" applyFill="0" applyBorder="0" applyAlignment="0" applyProtection="0"/>
    <xf numFmtId="9" fontId="11" fillId="0" borderId="0" applyFont="0" applyFill="0" applyBorder="0" applyAlignment="0" applyProtection="0"/>
    <xf numFmtId="0" fontId="14" fillId="0" borderId="0"/>
  </cellStyleXfs>
  <cellXfs count="189">
    <xf numFmtId="0" fontId="0" fillId="0" borderId="0" xfId="0"/>
    <xf numFmtId="0" fontId="4" fillId="3" borderId="1" xfId="0" applyFont="1" applyFill="1" applyBorder="1" applyAlignment="1">
      <alignment horizontal="center" vertical="center" wrapText="1"/>
    </xf>
    <xf numFmtId="0" fontId="5" fillId="0" borderId="1" xfId="0" applyFont="1" applyBorder="1"/>
    <xf numFmtId="0" fontId="6" fillId="0" borderId="1" xfId="0" applyFont="1" applyBorder="1" applyAlignment="1">
      <alignment horizontal="center"/>
    </xf>
    <xf numFmtId="0" fontId="2" fillId="0" borderId="1" xfId="0" applyFont="1" applyBorder="1" applyAlignment="1">
      <alignment wrapText="1"/>
    </xf>
    <xf numFmtId="164" fontId="6" fillId="0" borderId="1" xfId="0" applyNumberFormat="1" applyFont="1" applyBorder="1" applyAlignment="1">
      <alignment horizontal="center"/>
    </xf>
    <xf numFmtId="165" fontId="5" fillId="0" borderId="1" xfId="0" applyNumberFormat="1" applyFont="1" applyBorder="1" applyAlignment="1">
      <alignment horizontal="center"/>
    </xf>
    <xf numFmtId="164" fontId="5" fillId="0" borderId="1" xfId="0" applyNumberFormat="1" applyFont="1" applyBorder="1" applyAlignment="1">
      <alignment horizontal="center"/>
    </xf>
    <xf numFmtId="10" fontId="6" fillId="0" borderId="1" xfId="0" applyNumberFormat="1" applyFont="1" applyBorder="1" applyAlignment="1">
      <alignment horizontal="center"/>
    </xf>
    <xf numFmtId="166" fontId="6" fillId="0" borderId="1" xfId="0" applyNumberFormat="1" applyFont="1" applyBorder="1" applyAlignment="1">
      <alignment horizontal="center"/>
    </xf>
    <xf numFmtId="167" fontId="6" fillId="0" borderId="1" xfId="0" applyNumberFormat="1" applyFont="1" applyBorder="1" applyAlignment="1">
      <alignment horizontal="center"/>
    </xf>
    <xf numFmtId="165" fontId="6" fillId="4" borderId="1" xfId="0" applyNumberFormat="1" applyFont="1" applyFill="1" applyBorder="1" applyAlignment="1">
      <alignment horizontal="center"/>
    </xf>
    <xf numFmtId="165" fontId="7" fillId="0" borderId="1" xfId="0" applyNumberFormat="1" applyFont="1" applyBorder="1" applyAlignment="1">
      <alignment horizontal="center"/>
    </xf>
    <xf numFmtId="10" fontId="7" fillId="0" borderId="1" xfId="0" applyNumberFormat="1" applyFont="1" applyBorder="1" applyAlignment="1">
      <alignment horizontal="center"/>
    </xf>
    <xf numFmtId="10" fontId="6" fillId="4" borderId="1" xfId="0" applyNumberFormat="1" applyFont="1" applyFill="1" applyBorder="1" applyAlignment="1">
      <alignment horizontal="center"/>
    </xf>
    <xf numFmtId="0" fontId="3" fillId="0" borderId="1" xfId="0" applyFont="1" applyBorder="1"/>
    <xf numFmtId="164" fontId="3" fillId="5" borderId="1" xfId="0" applyNumberFormat="1" applyFont="1" applyFill="1" applyBorder="1" applyAlignment="1">
      <alignment horizontal="center"/>
    </xf>
    <xf numFmtId="0" fontId="4" fillId="0" borderId="1" xfId="0" applyFont="1" applyBorder="1"/>
    <xf numFmtId="164" fontId="4" fillId="3" borderId="1" xfId="0" applyNumberFormat="1" applyFont="1" applyFill="1" applyBorder="1" applyAlignment="1">
      <alignment horizontal="center"/>
    </xf>
    <xf numFmtId="164" fontId="7" fillId="0" borderId="1" xfId="0" applyNumberFormat="1" applyFont="1" applyBorder="1" applyAlignment="1">
      <alignment horizontal="center"/>
    </xf>
    <xf numFmtId="0" fontId="2" fillId="0" borderId="1" xfId="0" applyFont="1" applyBorder="1"/>
    <xf numFmtId="166" fontId="7" fillId="0" borderId="1" xfId="0" applyNumberFormat="1" applyFont="1" applyBorder="1" applyAlignment="1">
      <alignment horizontal="center"/>
    </xf>
    <xf numFmtId="167" fontId="4" fillId="3" borderId="1" xfId="0" applyNumberFormat="1" applyFont="1" applyFill="1" applyBorder="1" applyAlignment="1">
      <alignment horizontal="center"/>
    </xf>
    <xf numFmtId="167" fontId="7" fillId="0" borderId="1" xfId="0" applyNumberFormat="1" applyFont="1" applyBorder="1" applyAlignment="1">
      <alignment horizontal="center"/>
    </xf>
    <xf numFmtId="0" fontId="4" fillId="3" borderId="1" xfId="0" applyFont="1" applyFill="1" applyBorder="1"/>
    <xf numFmtId="165" fontId="4" fillId="3" borderId="1" xfId="0" applyNumberFormat="1" applyFont="1" applyFill="1" applyBorder="1" applyAlignment="1">
      <alignment horizontal="center"/>
    </xf>
    <xf numFmtId="169" fontId="4" fillId="3" borderId="1" xfId="0" applyNumberFormat="1" applyFont="1" applyFill="1" applyBorder="1" applyAlignment="1">
      <alignment horizontal="center"/>
    </xf>
    <xf numFmtId="169" fontId="3" fillId="5" borderId="1" xfId="0" applyNumberFormat="1" applyFont="1" applyFill="1" applyBorder="1" applyAlignment="1">
      <alignment horizontal="center"/>
    </xf>
    <xf numFmtId="168" fontId="5" fillId="0" borderId="1" xfId="0" applyNumberFormat="1" applyFont="1" applyBorder="1" applyAlignment="1">
      <alignment horizontal="center"/>
    </xf>
    <xf numFmtId="168" fontId="3" fillId="5" borderId="1" xfId="0" applyNumberFormat="1" applyFont="1" applyFill="1" applyBorder="1" applyAlignment="1">
      <alignment horizontal="center"/>
    </xf>
    <xf numFmtId="167" fontId="5" fillId="0" borderId="1" xfId="0" applyNumberFormat="1" applyFont="1" applyBorder="1" applyAlignment="1">
      <alignment horizontal="center"/>
    </xf>
    <xf numFmtId="164" fontId="6" fillId="4" borderId="1" xfId="0" applyNumberFormat="1" applyFont="1" applyFill="1" applyBorder="1" applyAlignment="1">
      <alignment horizontal="center"/>
    </xf>
    <xf numFmtId="164" fontId="5" fillId="4" borderId="1" xfId="0" applyNumberFormat="1" applyFont="1" applyFill="1" applyBorder="1" applyAlignment="1">
      <alignment horizontal="center"/>
    </xf>
    <xf numFmtId="167" fontId="5" fillId="4" borderId="1" xfId="0" applyNumberFormat="1" applyFont="1" applyFill="1" applyBorder="1" applyAlignment="1">
      <alignment horizontal="center"/>
    </xf>
    <xf numFmtId="0" fontId="0" fillId="4" borderId="0" xfId="0" applyFill="1"/>
    <xf numFmtId="0" fontId="9" fillId="0" borderId="0" xfId="0" applyFont="1"/>
    <xf numFmtId="0" fontId="10" fillId="0" borderId="1" xfId="0" applyFont="1" applyBorder="1" applyAlignment="1">
      <alignment wrapText="1"/>
    </xf>
    <xf numFmtId="0" fontId="8" fillId="0" borderId="1" xfId="0" applyFont="1" applyBorder="1" applyAlignment="1">
      <alignment wrapText="1"/>
    </xf>
    <xf numFmtId="0" fontId="8" fillId="0" borderId="1" xfId="0" applyFont="1" applyBorder="1"/>
    <xf numFmtId="0" fontId="1" fillId="0" borderId="0" xfId="0" applyFont="1"/>
    <xf numFmtId="43" fontId="6" fillId="0" borderId="1" xfId="1" applyFont="1" applyBorder="1" applyAlignment="1">
      <alignment horizontal="center"/>
    </xf>
    <xf numFmtId="43" fontId="5" fillId="0" borderId="1" xfId="1" applyFont="1" applyBorder="1" applyAlignment="1">
      <alignment horizontal="center"/>
    </xf>
    <xf numFmtId="9" fontId="5" fillId="0" borderId="1" xfId="2" applyFont="1" applyBorder="1" applyAlignment="1">
      <alignment horizontal="right"/>
    </xf>
    <xf numFmtId="9" fontId="6" fillId="0" borderId="1" xfId="2" applyFont="1" applyBorder="1" applyAlignment="1">
      <alignment horizontal="right"/>
    </xf>
    <xf numFmtId="0" fontId="4" fillId="3" borderId="4" xfId="0" applyFont="1" applyFill="1" applyBorder="1" applyAlignment="1">
      <alignment horizontal="center" vertical="center" wrapText="1"/>
    </xf>
    <xf numFmtId="0" fontId="5" fillId="0" borderId="5" xfId="0" applyFont="1" applyBorder="1"/>
    <xf numFmtId="43" fontId="8" fillId="0" borderId="7" xfId="1" applyFont="1" applyBorder="1" applyAlignment="1">
      <alignment horizontal="center"/>
    </xf>
    <xf numFmtId="0" fontId="5" fillId="0" borderId="8" xfId="0" applyFont="1" applyBorder="1"/>
    <xf numFmtId="43" fontId="8" fillId="0" borderId="9" xfId="1" applyFont="1" applyBorder="1" applyAlignment="1">
      <alignment horizontal="center"/>
    </xf>
    <xf numFmtId="10" fontId="8" fillId="0" borderId="9" xfId="2" applyNumberFormat="1" applyFont="1" applyBorder="1" applyAlignment="1">
      <alignment horizontal="right"/>
    </xf>
    <xf numFmtId="164" fontId="6" fillId="0" borderId="9" xfId="0" applyNumberFormat="1" applyFont="1" applyBorder="1" applyAlignment="1">
      <alignment horizontal="center"/>
    </xf>
    <xf numFmtId="43" fontId="8" fillId="0" borderId="12" xfId="1" applyFont="1" applyBorder="1" applyAlignment="1">
      <alignment horizontal="center"/>
    </xf>
    <xf numFmtId="0" fontId="3" fillId="0" borderId="8" xfId="0" applyFont="1" applyBorder="1"/>
    <xf numFmtId="164" fontId="3" fillId="5" borderId="9" xfId="0" applyNumberFormat="1" applyFont="1" applyFill="1" applyBorder="1" applyAlignment="1">
      <alignment horizontal="center"/>
    </xf>
    <xf numFmtId="164" fontId="5" fillId="0" borderId="9" xfId="0" applyNumberFormat="1" applyFont="1" applyBorder="1" applyAlignment="1">
      <alignment horizontal="center"/>
    </xf>
    <xf numFmtId="164" fontId="4" fillId="3" borderId="11" xfId="0" applyNumberFormat="1" applyFont="1" applyFill="1" applyBorder="1" applyAlignment="1">
      <alignment horizontal="center"/>
    </xf>
    <xf numFmtId="164" fontId="4" fillId="3" borderId="12" xfId="0" applyNumberFormat="1" applyFont="1" applyFill="1" applyBorder="1" applyAlignment="1">
      <alignment horizontal="center"/>
    </xf>
    <xf numFmtId="0" fontId="5" fillId="6" borderId="5" xfId="0" applyFont="1" applyFill="1" applyBorder="1"/>
    <xf numFmtId="164" fontId="5" fillId="6" borderId="6" xfId="0" applyNumberFormat="1" applyFont="1" applyFill="1" applyBorder="1" applyAlignment="1">
      <alignment horizontal="center"/>
    </xf>
    <xf numFmtId="164" fontId="5" fillId="6" borderId="7" xfId="0" applyNumberFormat="1" applyFont="1" applyFill="1" applyBorder="1" applyAlignment="1">
      <alignment horizontal="center"/>
    </xf>
    <xf numFmtId="0" fontId="5" fillId="6" borderId="10" xfId="0" applyFont="1" applyFill="1" applyBorder="1"/>
    <xf numFmtId="0" fontId="2" fillId="6" borderId="11" xfId="0" applyFont="1" applyFill="1" applyBorder="1" applyAlignment="1">
      <alignment horizontal="center"/>
    </xf>
    <xf numFmtId="164" fontId="5" fillId="6" borderId="11" xfId="0" applyNumberFormat="1" applyFont="1" applyFill="1" applyBorder="1" applyAlignment="1">
      <alignment horizontal="center"/>
    </xf>
    <xf numFmtId="164" fontId="5" fillId="6" borderId="12" xfId="0" applyNumberFormat="1" applyFont="1" applyFill="1" applyBorder="1" applyAlignment="1">
      <alignment horizontal="center"/>
    </xf>
    <xf numFmtId="165" fontId="5" fillId="6" borderId="6" xfId="0" applyNumberFormat="1" applyFont="1" applyFill="1" applyBorder="1" applyAlignment="1">
      <alignment horizontal="center"/>
    </xf>
    <xf numFmtId="165" fontId="5" fillId="6" borderId="7" xfId="0" applyNumberFormat="1" applyFont="1" applyFill="1" applyBorder="1" applyAlignment="1">
      <alignment horizontal="center"/>
    </xf>
    <xf numFmtId="165" fontId="5" fillId="6" borderId="11" xfId="0" applyNumberFormat="1" applyFont="1" applyFill="1" applyBorder="1" applyAlignment="1">
      <alignment horizontal="center"/>
    </xf>
    <xf numFmtId="165" fontId="5" fillId="6" borderId="12" xfId="0" applyNumberFormat="1" applyFont="1" applyFill="1" applyBorder="1" applyAlignment="1">
      <alignment horizontal="center"/>
    </xf>
    <xf numFmtId="0" fontId="8" fillId="6" borderId="0" xfId="0" applyFont="1" applyFill="1"/>
    <xf numFmtId="164" fontId="8" fillId="6" borderId="0" xfId="0" applyNumberFormat="1" applyFont="1" applyFill="1" applyAlignment="1">
      <alignment horizontal="center"/>
    </xf>
    <xf numFmtId="0" fontId="9" fillId="6" borderId="0" xfId="0" applyFont="1" applyFill="1"/>
    <xf numFmtId="0" fontId="8" fillId="6" borderId="5" xfId="0" applyFont="1" applyFill="1" applyBorder="1"/>
    <xf numFmtId="164" fontId="8" fillId="6" borderId="6" xfId="0" applyNumberFormat="1" applyFont="1" applyFill="1" applyBorder="1" applyAlignment="1">
      <alignment horizontal="center"/>
    </xf>
    <xf numFmtId="164" fontId="8" fillId="6" borderId="7" xfId="0" applyNumberFormat="1" applyFont="1" applyFill="1" applyBorder="1" applyAlignment="1">
      <alignment horizontal="center"/>
    </xf>
    <xf numFmtId="0" fontId="8" fillId="6" borderId="8" xfId="0" applyFont="1" applyFill="1" applyBorder="1"/>
    <xf numFmtId="165" fontId="8" fillId="6" borderId="9" xfId="0" applyNumberFormat="1" applyFont="1" applyFill="1" applyBorder="1" applyAlignment="1">
      <alignment horizontal="center"/>
    </xf>
    <xf numFmtId="164" fontId="8" fillId="6" borderId="9" xfId="0" applyNumberFormat="1" applyFont="1" applyFill="1" applyBorder="1" applyAlignment="1">
      <alignment horizontal="center"/>
    </xf>
    <xf numFmtId="0" fontId="3" fillId="6" borderId="10" xfId="0" applyFont="1" applyFill="1" applyBorder="1"/>
    <xf numFmtId="164" fontId="3" fillId="6" borderId="11" xfId="0" applyNumberFormat="1" applyFont="1" applyFill="1" applyBorder="1" applyAlignment="1">
      <alignment horizontal="center"/>
    </xf>
    <xf numFmtId="164" fontId="3" fillId="6" borderId="12" xfId="0" applyNumberFormat="1" applyFont="1" applyFill="1" applyBorder="1" applyAlignment="1">
      <alignment horizontal="center"/>
    </xf>
    <xf numFmtId="168" fontId="8" fillId="6" borderId="0" xfId="0" applyNumberFormat="1" applyFont="1" applyFill="1" applyAlignment="1">
      <alignment horizontal="center"/>
    </xf>
    <xf numFmtId="0" fontId="3" fillId="2" borderId="0" xfId="0" applyFont="1" applyFill="1"/>
    <xf numFmtId="0" fontId="0" fillId="2" borderId="0" xfId="0" applyFill="1"/>
    <xf numFmtId="0" fontId="4" fillId="6" borderId="0" xfId="0" applyFont="1" applyFill="1" applyAlignment="1">
      <alignment horizontal="center" vertical="center" wrapText="1"/>
    </xf>
    <xf numFmtId="0" fontId="0" fillId="6" borderId="0" xfId="0" applyFill="1"/>
    <xf numFmtId="0" fontId="5" fillId="6" borderId="8" xfId="0" applyFont="1" applyFill="1" applyBorder="1"/>
    <xf numFmtId="164" fontId="5" fillId="6" borderId="0" xfId="0" applyNumberFormat="1" applyFont="1" applyFill="1" applyAlignment="1">
      <alignment horizontal="center"/>
    </xf>
    <xf numFmtId="164" fontId="5" fillId="6" borderId="9" xfId="0" applyNumberFormat="1" applyFont="1" applyFill="1" applyBorder="1" applyAlignment="1">
      <alignment horizontal="center"/>
    </xf>
    <xf numFmtId="43" fontId="8" fillId="0" borderId="0" xfId="1" applyFont="1" applyBorder="1" applyAlignment="1">
      <alignment horizontal="center"/>
    </xf>
    <xf numFmtId="10" fontId="8" fillId="0" borderId="0" xfId="2" applyNumberFormat="1" applyFont="1" applyBorder="1" applyAlignment="1">
      <alignment horizontal="right"/>
    </xf>
    <xf numFmtId="164" fontId="6" fillId="0" borderId="0" xfId="0" applyNumberFormat="1" applyFont="1" applyAlignment="1">
      <alignment horizontal="center"/>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5" fillId="0" borderId="10" xfId="0" applyFont="1" applyBorder="1"/>
    <xf numFmtId="43" fontId="8" fillId="0" borderId="11" xfId="1" applyFont="1" applyBorder="1" applyAlignment="1">
      <alignment horizontal="center"/>
    </xf>
    <xf numFmtId="164" fontId="5" fillId="0" borderId="0" xfId="0" applyNumberFormat="1" applyFont="1" applyAlignment="1">
      <alignment horizontal="center"/>
    </xf>
    <xf numFmtId="164" fontId="3" fillId="5" borderId="0" xfId="0" applyNumberFormat="1" applyFont="1" applyFill="1" applyAlignment="1">
      <alignment horizontal="center"/>
    </xf>
    <xf numFmtId="0" fontId="2" fillId="0" borderId="0" xfId="0" applyFont="1" applyAlignment="1">
      <alignment horizontal="center"/>
    </xf>
    <xf numFmtId="0" fontId="4" fillId="0" borderId="0" xfId="0" applyFont="1"/>
    <xf numFmtId="0" fontId="2" fillId="0" borderId="0" xfId="0" applyFont="1" applyAlignment="1">
      <alignment horizontal="center" wrapText="1"/>
    </xf>
    <xf numFmtId="0" fontId="13" fillId="6" borderId="8" xfId="0" applyFont="1" applyFill="1" applyBorder="1"/>
    <xf numFmtId="164" fontId="13" fillId="6" borderId="0" xfId="0" applyNumberFormat="1" applyFont="1" applyFill="1" applyAlignment="1">
      <alignment horizontal="center"/>
    </xf>
    <xf numFmtId="164" fontId="13" fillId="6" borderId="9" xfId="0" applyNumberFormat="1" applyFont="1" applyFill="1" applyBorder="1" applyAlignment="1">
      <alignment horizontal="center"/>
    </xf>
    <xf numFmtId="0" fontId="16" fillId="8" borderId="0" xfId="3" applyFont="1" applyFill="1" applyAlignment="1">
      <alignment horizontal="right" vertical="center" wrapText="1"/>
    </xf>
    <xf numFmtId="0" fontId="14" fillId="8" borderId="0" xfId="3" applyFill="1"/>
    <xf numFmtId="0" fontId="15" fillId="7" borderId="0" xfId="3" applyFont="1" applyFill="1" applyAlignment="1">
      <alignment horizontal="right" vertical="center" wrapText="1"/>
    </xf>
    <xf numFmtId="16" fontId="18" fillId="8" borderId="13" xfId="3" applyNumberFormat="1" applyFont="1" applyFill="1" applyBorder="1" applyAlignment="1">
      <alignment horizontal="right" vertical="center" wrapText="1"/>
    </xf>
    <xf numFmtId="16" fontId="15" fillId="7" borderId="13" xfId="3" applyNumberFormat="1" applyFont="1" applyFill="1" applyBorder="1" applyAlignment="1">
      <alignment horizontal="right" vertical="center" wrapText="1"/>
    </xf>
    <xf numFmtId="0" fontId="15" fillId="7" borderId="0" xfId="3" applyFont="1" applyFill="1" applyAlignment="1">
      <alignment horizontal="center" wrapText="1"/>
    </xf>
    <xf numFmtId="0" fontId="15" fillId="7" borderId="0" xfId="3" applyFont="1" applyFill="1" applyAlignment="1">
      <alignment horizontal="center"/>
    </xf>
    <xf numFmtId="0" fontId="19" fillId="9" borderId="14" xfId="3" applyFont="1" applyFill="1" applyBorder="1" applyAlignment="1">
      <alignment vertical="center"/>
    </xf>
    <xf numFmtId="0" fontId="20" fillId="8" borderId="13" xfId="3" applyFont="1" applyFill="1" applyBorder="1" applyAlignment="1">
      <alignment horizontal="right" vertical="center"/>
    </xf>
    <xf numFmtId="170" fontId="19" fillId="9" borderId="14" xfId="3" applyNumberFormat="1" applyFont="1" applyFill="1" applyBorder="1" applyAlignment="1">
      <alignment horizontal="right" vertical="center" readingOrder="1"/>
    </xf>
    <xf numFmtId="165" fontId="14" fillId="8" borderId="15" xfId="3" applyNumberFormat="1" applyFill="1" applyBorder="1"/>
    <xf numFmtId="170" fontId="14" fillId="8" borderId="15" xfId="3" applyNumberFormat="1" applyFill="1" applyBorder="1"/>
    <xf numFmtId="0" fontId="21" fillId="8" borderId="0" xfId="3" applyFont="1" applyFill="1" applyAlignment="1">
      <alignment vertical="center"/>
    </xf>
    <xf numFmtId="0" fontId="20" fillId="8" borderId="0" xfId="3" applyFont="1" applyFill="1" applyAlignment="1">
      <alignment horizontal="right" vertical="center"/>
    </xf>
    <xf numFmtId="170" fontId="21" fillId="8" borderId="0" xfId="3" applyNumberFormat="1" applyFont="1" applyFill="1" applyAlignment="1">
      <alignment horizontal="right" vertical="center" readingOrder="1"/>
    </xf>
    <xf numFmtId="10" fontId="22" fillId="8" borderId="0" xfId="3" applyNumberFormat="1" applyFont="1" applyFill="1" applyAlignment="1">
      <alignment horizontal="right" vertical="center" readingOrder="1"/>
    </xf>
    <xf numFmtId="10" fontId="23" fillId="8" borderId="0" xfId="3" applyNumberFormat="1" applyFont="1" applyFill="1" applyAlignment="1">
      <alignment horizontal="right" vertical="center" readingOrder="1"/>
    </xf>
    <xf numFmtId="0" fontId="24" fillId="8" borderId="14" xfId="3" applyFont="1" applyFill="1" applyBorder="1" applyAlignment="1">
      <alignment vertical="center"/>
    </xf>
    <xf numFmtId="170" fontId="24" fillId="8" borderId="14" xfId="3" applyNumberFormat="1" applyFont="1" applyFill="1" applyBorder="1" applyAlignment="1">
      <alignment horizontal="right" vertical="center" readingOrder="1"/>
    </xf>
    <xf numFmtId="0" fontId="21" fillId="8" borderId="0" xfId="3" applyFont="1" applyFill="1" applyAlignment="1">
      <alignment horizontal="right" vertical="center" readingOrder="1"/>
    </xf>
    <xf numFmtId="170" fontId="14" fillId="8" borderId="0" xfId="3" applyNumberFormat="1" applyFill="1"/>
    <xf numFmtId="0" fontId="24" fillId="8" borderId="14" xfId="3" applyFont="1" applyFill="1" applyBorder="1" applyAlignment="1">
      <alignment horizontal="right" vertical="center" readingOrder="1"/>
    </xf>
    <xf numFmtId="0" fontId="16" fillId="8" borderId="16" xfId="3" applyFont="1" applyFill="1" applyBorder="1" applyAlignment="1">
      <alignment vertical="center" wrapText="1"/>
    </xf>
    <xf numFmtId="0" fontId="25" fillId="7" borderId="0" xfId="3" applyFont="1" applyFill="1" applyAlignment="1">
      <alignment horizontal="right" vertical="center" wrapText="1"/>
    </xf>
    <xf numFmtId="0" fontId="26" fillId="7" borderId="0" xfId="3" applyFont="1" applyFill="1"/>
    <xf numFmtId="16" fontId="25" fillId="7" borderId="13" xfId="3" applyNumberFormat="1" applyFont="1" applyFill="1" applyBorder="1" applyAlignment="1">
      <alignment horizontal="right" vertical="center" wrapText="1"/>
    </xf>
    <xf numFmtId="0" fontId="16" fillId="8" borderId="0" xfId="3" applyFont="1" applyFill="1" applyAlignment="1">
      <alignment vertical="center"/>
    </xf>
    <xf numFmtId="170" fontId="16" fillId="8" borderId="13" xfId="3" applyNumberFormat="1" applyFont="1" applyFill="1" applyBorder="1" applyAlignment="1">
      <alignment horizontal="right" vertical="center" readingOrder="1"/>
    </xf>
    <xf numFmtId="171" fontId="14" fillId="8" borderId="15" xfId="3" applyNumberFormat="1" applyFill="1" applyBorder="1"/>
    <xf numFmtId="10" fontId="22" fillId="8" borderId="13" xfId="3" applyNumberFormat="1" applyFont="1" applyFill="1" applyBorder="1" applyAlignment="1">
      <alignment horizontal="right" vertical="center" readingOrder="1"/>
    </xf>
    <xf numFmtId="0" fontId="16" fillId="8" borderId="13" xfId="3" applyFont="1" applyFill="1" applyBorder="1" applyAlignment="1">
      <alignment horizontal="right" vertical="center" readingOrder="1"/>
    </xf>
    <xf numFmtId="10" fontId="16" fillId="8" borderId="13" xfId="3" applyNumberFormat="1" applyFont="1" applyFill="1" applyBorder="1" applyAlignment="1">
      <alignment horizontal="right" vertical="center" readingOrder="1"/>
    </xf>
    <xf numFmtId="10" fontId="23" fillId="8" borderId="13" xfId="3" applyNumberFormat="1" applyFont="1" applyFill="1" applyBorder="1" applyAlignment="1">
      <alignment horizontal="right" vertical="center" readingOrder="1"/>
    </xf>
    <xf numFmtId="9" fontId="22" fillId="8" borderId="13" xfId="3" applyNumberFormat="1" applyFont="1" applyFill="1" applyBorder="1" applyAlignment="1">
      <alignment horizontal="right" vertical="center" readingOrder="1"/>
    </xf>
    <xf numFmtId="4" fontId="16" fillId="8" borderId="13" xfId="3" applyNumberFormat="1" applyFont="1" applyFill="1" applyBorder="1" applyAlignment="1">
      <alignment horizontal="right" vertical="center" readingOrder="1"/>
    </xf>
    <xf numFmtId="0" fontId="16" fillId="8" borderId="0" xfId="3" applyFont="1" applyFill="1" applyAlignment="1">
      <alignment vertical="center" wrapText="1"/>
    </xf>
    <xf numFmtId="16" fontId="15" fillId="7" borderId="0" xfId="3" applyNumberFormat="1" applyFont="1" applyFill="1" applyAlignment="1">
      <alignment horizontal="right" vertical="center" wrapText="1"/>
    </xf>
    <xf numFmtId="170" fontId="16" fillId="8" borderId="0" xfId="3" applyNumberFormat="1" applyFont="1" applyFill="1" applyAlignment="1">
      <alignment horizontal="right" vertical="center" readingOrder="1"/>
    </xf>
    <xf numFmtId="0" fontId="16" fillId="8" borderId="0" xfId="3" applyFont="1" applyFill="1" applyAlignment="1">
      <alignment horizontal="right" vertical="center" readingOrder="1"/>
    </xf>
    <xf numFmtId="170" fontId="19" fillId="9" borderId="0" xfId="3" applyNumberFormat="1" applyFont="1" applyFill="1" applyAlignment="1">
      <alignment horizontal="right" vertical="center" readingOrder="1"/>
    </xf>
    <xf numFmtId="10" fontId="16" fillId="8" borderId="0" xfId="3" applyNumberFormat="1" applyFont="1" applyFill="1" applyAlignment="1">
      <alignment horizontal="right" vertical="center" readingOrder="1"/>
    </xf>
    <xf numFmtId="4" fontId="16" fillId="8" borderId="0" xfId="3" applyNumberFormat="1" applyFont="1" applyFill="1" applyAlignment="1">
      <alignment horizontal="right" vertical="center" readingOrder="1"/>
    </xf>
    <xf numFmtId="0" fontId="14" fillId="0" borderId="0" xfId="3"/>
    <xf numFmtId="170" fontId="24" fillId="8" borderId="0" xfId="3" applyNumberFormat="1" applyFont="1" applyFill="1" applyAlignment="1">
      <alignment horizontal="right" vertical="center" readingOrder="1"/>
    </xf>
    <xf numFmtId="43" fontId="5" fillId="0" borderId="6" xfId="0" applyNumberFormat="1" applyFont="1" applyBorder="1"/>
    <xf numFmtId="43" fontId="5" fillId="0" borderId="7" xfId="0" applyNumberFormat="1" applyFont="1" applyBorder="1"/>
    <xf numFmtId="0" fontId="3" fillId="6" borderId="0" xfId="0" applyFont="1" applyFill="1"/>
    <xf numFmtId="164" fontId="3" fillId="6" borderId="0" xfId="0" applyNumberFormat="1" applyFont="1" applyFill="1" applyAlignment="1">
      <alignment horizontal="center"/>
    </xf>
    <xf numFmtId="0" fontId="10" fillId="6" borderId="0" xfId="0" applyFont="1" applyFill="1" applyAlignment="1">
      <alignment horizontal="center"/>
    </xf>
    <xf numFmtId="0" fontId="12" fillId="6" borderId="0" xfId="0" applyFont="1" applyFill="1"/>
    <xf numFmtId="164" fontId="12" fillId="6" borderId="0" xfId="0" applyNumberFormat="1" applyFont="1" applyFill="1" applyAlignment="1">
      <alignment horizontal="center"/>
    </xf>
    <xf numFmtId="0" fontId="8" fillId="0" borderId="5" xfId="0" applyFont="1" applyBorder="1"/>
    <xf numFmtId="0" fontId="8" fillId="0" borderId="8" xfId="0" applyFont="1" applyBorder="1"/>
    <xf numFmtId="9" fontId="8" fillId="0" borderId="9" xfId="2" applyFont="1" applyBorder="1" applyAlignment="1">
      <alignment horizontal="right"/>
    </xf>
    <xf numFmtId="0" fontId="8" fillId="0" borderId="10" xfId="0" applyFont="1" applyBorder="1"/>
    <xf numFmtId="165" fontId="8" fillId="6" borderId="0" xfId="0" applyNumberFormat="1" applyFont="1" applyFill="1" applyAlignment="1">
      <alignment horizontal="center"/>
    </xf>
    <xf numFmtId="10" fontId="8" fillId="6" borderId="0" xfId="0" applyNumberFormat="1" applyFont="1" applyFill="1" applyAlignment="1">
      <alignment horizontal="center"/>
    </xf>
    <xf numFmtId="0" fontId="4" fillId="3" borderId="19" xfId="0" applyFont="1" applyFill="1" applyBorder="1" applyAlignment="1">
      <alignment horizontal="center" vertical="center" wrapText="1"/>
    </xf>
    <xf numFmtId="0" fontId="4" fillId="3" borderId="20" xfId="0" applyFont="1" applyFill="1" applyBorder="1" applyAlignment="1">
      <alignment horizontal="center" vertical="center" wrapText="1"/>
    </xf>
    <xf numFmtId="10" fontId="8" fillId="6" borderId="9" xfId="0" applyNumberFormat="1" applyFont="1" applyFill="1" applyBorder="1" applyAlignment="1">
      <alignment horizontal="center"/>
    </xf>
    <xf numFmtId="0" fontId="8" fillId="6" borderId="10" xfId="0" applyFont="1" applyFill="1" applyBorder="1"/>
    <xf numFmtId="165" fontId="8" fillId="6" borderId="12" xfId="0" applyNumberFormat="1" applyFont="1" applyFill="1" applyBorder="1" applyAlignment="1">
      <alignment horizontal="center"/>
    </xf>
    <xf numFmtId="43" fontId="8" fillId="6" borderId="0" xfId="1" applyFont="1" applyFill="1" applyBorder="1" applyAlignment="1">
      <alignment horizontal="center"/>
    </xf>
    <xf numFmtId="10" fontId="8" fillId="6" borderId="0" xfId="0" applyNumberFormat="1" applyFont="1" applyFill="1" applyAlignment="1">
      <alignment horizontal="right"/>
    </xf>
    <xf numFmtId="166" fontId="8" fillId="6" borderId="0" xfId="0" applyNumberFormat="1" applyFont="1" applyFill="1" applyAlignment="1">
      <alignment horizontal="right"/>
    </xf>
    <xf numFmtId="0" fontId="4" fillId="3" borderId="21" xfId="0" applyFont="1" applyFill="1" applyBorder="1" applyAlignment="1">
      <alignment horizontal="center" vertical="center" wrapText="1"/>
    </xf>
    <xf numFmtId="0" fontId="1" fillId="0" borderId="0" xfId="0" applyFont="1"/>
    <xf numFmtId="0" fontId="0" fillId="0" borderId="0" xfId="0"/>
    <xf numFmtId="0" fontId="3" fillId="2" borderId="0" xfId="0" applyFont="1" applyFill="1"/>
    <xf numFmtId="0" fontId="0" fillId="2" borderId="0" xfId="0" applyFill="1"/>
    <xf numFmtId="0" fontId="8" fillId="0" borderId="0" xfId="0" applyFont="1" applyAlignment="1">
      <alignment vertical="top" wrapText="1"/>
    </xf>
    <xf numFmtId="0" fontId="9" fillId="0" borderId="0" xfId="0" applyFont="1"/>
    <xf numFmtId="0" fontId="15" fillId="7" borderId="13" xfId="3" applyFont="1" applyFill="1" applyBorder="1" applyAlignment="1">
      <alignment horizontal="center" vertical="center" wrapText="1"/>
    </xf>
    <xf numFmtId="0" fontId="14" fillId="0" borderId="13" xfId="3" applyBorder="1"/>
    <xf numFmtId="0" fontId="17" fillId="7" borderId="0" xfId="3" applyFont="1" applyFill="1" applyAlignment="1">
      <alignment horizontal="center" vertical="center"/>
    </xf>
    <xf numFmtId="0" fontId="14" fillId="8" borderId="0" xfId="3" applyFill="1"/>
    <xf numFmtId="0" fontId="15" fillId="7" borderId="0" xfId="3" applyFont="1" applyFill="1" applyAlignment="1">
      <alignment horizontal="center" vertical="center"/>
    </xf>
    <xf numFmtId="0" fontId="16" fillId="8" borderId="16" xfId="3" applyFont="1" applyFill="1" applyBorder="1" applyAlignment="1">
      <alignment vertical="center" wrapText="1"/>
    </xf>
    <xf numFmtId="0" fontId="14" fillId="0" borderId="16" xfId="3" applyBorder="1"/>
    <xf numFmtId="0" fontId="2" fillId="0" borderId="0" xfId="0" applyFont="1" applyAlignment="1">
      <alignment vertical="top" wrapText="1"/>
    </xf>
    <xf numFmtId="0" fontId="4" fillId="3" borderId="17"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7" fillId="0" borderId="1" xfId="0" applyFont="1" applyBorder="1" applyAlignment="1">
      <alignment wrapText="1"/>
    </xf>
    <xf numFmtId="0" fontId="0" fillId="0" borderId="2" xfId="0" applyBorder="1"/>
    <xf numFmtId="0" fontId="0" fillId="0" borderId="3" xfId="0" applyBorder="1"/>
  </cellXfs>
  <cellStyles count="4">
    <cellStyle name="Millares" xfId="1" builtinId="3"/>
    <cellStyle name="Normal" xfId="0" builtinId="0"/>
    <cellStyle name="Normal 2" xfId="3" xr:uid="{DCD5B3F1-B942-4B15-9867-AB6E61B64581}"/>
    <cellStyle name="Porcentaje"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LEYDIS ESTHER NIEBLES FERRER" id="{DA6DF28E-0CB4-4148-BD36-9A4523FCA385}" userId="S::nieblesl@uninorte.edu.co::b6e33170-d1db-452e-9960-09b3bbe0f86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49" dT="2026-09-18T21:51:19.37" personId="{DA6DF28E-0CB4-4148-BD36-9A4523FCA385}" id="{DEE89349-1F05-4506-919C-6CD6B339EE2A}">
    <text>https://stockanalysis.com/stocks/v/financials/cash-flow-statement/?utm_source=chatgpt.com</text>
    <extLst>
      <x:ext xmlns:xltc2="http://schemas.microsoft.com/office/spreadsheetml/2020/threadedcomments2" uri="{F7C98A9C-CBB3-438F-8F68-D28B6AF4A901}">
        <xltc2:checksum>4155801188</xltc2:checksum>
        <xltc2:hyperlink startIndex="0" length="89" url="https://stockanalysis.com/stocks/v/financials/cash-flow-statement/?utm_source=chatgpt.com"/>
      </x:ext>
    </extLst>
  </threadedComment>
</ThreadedComment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9F01D-CCF3-44E5-818A-F70C59D3A36D}">
  <dimension ref="A1:AS69"/>
  <sheetViews>
    <sheetView topLeftCell="A41" zoomScaleNormal="100" workbookViewId="0">
      <selection activeCell="K54" sqref="K54"/>
    </sheetView>
  </sheetViews>
  <sheetFormatPr baseColWidth="10" defaultColWidth="10.5546875" defaultRowHeight="14.4" x14ac:dyDescent="0.3"/>
  <cols>
    <col min="1" max="1" width="46" style="105" customWidth="1"/>
    <col min="2" max="6" width="13" style="105" hidden="1" customWidth="1"/>
    <col min="7" max="29" width="13" style="105" customWidth="1"/>
    <col min="30" max="30" width="10.5546875" style="105" customWidth="1"/>
    <col min="31" max="35" width="12" style="105" customWidth="1"/>
    <col min="36" max="36" width="10.5546875" style="105" customWidth="1"/>
    <col min="37" max="40" width="12.5546875" style="105" customWidth="1"/>
    <col min="41" max="41" width="10.5546875" style="105" customWidth="1"/>
    <col min="42" max="45" width="12" style="105" customWidth="1"/>
    <col min="46" max="46" width="10.5546875" style="105" customWidth="1"/>
    <col min="47" max="16384" width="10.5546875" style="105"/>
  </cols>
  <sheetData>
    <row r="1" spans="1:45" ht="16.5" customHeight="1" thickBot="1" x14ac:dyDescent="0.35">
      <c r="A1" s="176" t="s">
        <v>219</v>
      </c>
      <c r="B1" s="104"/>
      <c r="C1" s="104"/>
      <c r="D1" s="104"/>
      <c r="G1" s="106">
        <v>2021</v>
      </c>
      <c r="H1" s="106">
        <v>2022</v>
      </c>
      <c r="I1" s="106">
        <v>2023</v>
      </c>
      <c r="J1" s="106">
        <v>2024</v>
      </c>
      <c r="K1" s="106">
        <v>2025</v>
      </c>
      <c r="L1" s="106"/>
      <c r="M1" s="106"/>
      <c r="N1" s="106"/>
      <c r="O1" s="106"/>
      <c r="P1" s="106"/>
      <c r="Q1" s="106"/>
      <c r="R1" s="106"/>
      <c r="S1" s="106"/>
      <c r="T1" s="106"/>
      <c r="U1" s="106"/>
      <c r="V1" s="106"/>
      <c r="W1" s="106"/>
      <c r="X1" s="106"/>
      <c r="Y1" s="106"/>
      <c r="Z1" s="106"/>
      <c r="AA1" s="106"/>
      <c r="AB1" s="106"/>
      <c r="AC1" s="106"/>
      <c r="AE1" s="178" t="s">
        <v>220</v>
      </c>
      <c r="AF1" s="179"/>
      <c r="AG1" s="179"/>
      <c r="AH1" s="179"/>
      <c r="AI1" s="179"/>
      <c r="AK1" s="178" t="s">
        <v>221</v>
      </c>
      <c r="AL1" s="179"/>
      <c r="AM1" s="179"/>
      <c r="AN1" s="179"/>
      <c r="AP1" s="178" t="s">
        <v>222</v>
      </c>
      <c r="AQ1" s="179"/>
      <c r="AR1" s="179"/>
      <c r="AS1" s="179"/>
    </row>
    <row r="2" spans="1:45" ht="17.25" customHeight="1" thickBot="1" x14ac:dyDescent="0.45">
      <c r="A2" s="177"/>
      <c r="B2" s="107"/>
      <c r="C2" s="107"/>
      <c r="D2" s="107"/>
      <c r="G2" s="108">
        <v>46295</v>
      </c>
      <c r="H2" s="108">
        <v>46295</v>
      </c>
      <c r="I2" s="108">
        <v>46295</v>
      </c>
      <c r="J2" s="108">
        <v>46295</v>
      </c>
      <c r="K2" s="108">
        <v>46295</v>
      </c>
      <c r="L2" s="140"/>
      <c r="M2" s="140"/>
      <c r="N2" s="140"/>
      <c r="O2" s="140"/>
      <c r="P2" s="140"/>
      <c r="Q2" s="140"/>
      <c r="R2" s="140"/>
      <c r="S2" s="140"/>
      <c r="T2" s="140"/>
      <c r="U2" s="140"/>
      <c r="V2" s="140"/>
      <c r="W2" s="140"/>
      <c r="X2" s="140"/>
      <c r="Y2" s="140"/>
      <c r="Z2" s="140"/>
      <c r="AA2" s="140"/>
      <c r="AB2" s="140"/>
      <c r="AC2" s="140"/>
      <c r="AE2" s="106">
        <v>2021</v>
      </c>
      <c r="AF2" s="106">
        <v>2022</v>
      </c>
      <c r="AG2" s="106">
        <v>2023</v>
      </c>
      <c r="AH2" s="106">
        <v>2024</v>
      </c>
      <c r="AI2" s="106">
        <v>2025</v>
      </c>
      <c r="AK2" s="109" t="s">
        <v>94</v>
      </c>
      <c r="AL2" s="109" t="s">
        <v>95</v>
      </c>
      <c r="AM2" s="109" t="s">
        <v>96</v>
      </c>
      <c r="AN2" s="109" t="s">
        <v>97</v>
      </c>
      <c r="AP2" s="110" t="s">
        <v>94</v>
      </c>
      <c r="AQ2" s="110" t="s">
        <v>95</v>
      </c>
      <c r="AR2" s="110" t="s">
        <v>96</v>
      </c>
      <c r="AS2" s="110" t="s">
        <v>97</v>
      </c>
    </row>
    <row r="3" spans="1:45" ht="17.25" customHeight="1" thickBot="1" x14ac:dyDescent="0.35">
      <c r="A3" s="111" t="s">
        <v>223</v>
      </c>
      <c r="B3" s="112"/>
      <c r="C3" s="112"/>
      <c r="D3" s="112"/>
      <c r="E3" s="112"/>
      <c r="F3" s="112"/>
      <c r="G3" s="113">
        <f>SUM(G4,G6,G7,G10,G11,G12,G14)</f>
        <v>27607</v>
      </c>
      <c r="H3" s="113">
        <f>SUM(H4,H6,H7,H10,H11,H12,H14)</f>
        <v>30205</v>
      </c>
      <c r="I3" s="113">
        <f>SUM(I4,I6,I7,I10,I11,I12,I14)</f>
        <v>33532</v>
      </c>
      <c r="J3" s="113">
        <f>SUM(J4,J6,J7,J10,J11,J12,J14)</f>
        <v>34033</v>
      </c>
      <c r="K3" s="113">
        <f>SUM(K4,K6,K7,K10,K11,K12,K14)</f>
        <v>37766</v>
      </c>
      <c r="L3" s="143"/>
      <c r="M3" s="143"/>
      <c r="N3" s="143"/>
      <c r="O3" s="143"/>
      <c r="P3" s="143"/>
      <c r="Q3" s="143"/>
      <c r="R3" s="143"/>
      <c r="S3" s="143"/>
      <c r="T3" s="143"/>
      <c r="U3" s="143"/>
      <c r="V3" s="143"/>
      <c r="W3" s="143"/>
      <c r="X3" s="143"/>
      <c r="Y3" s="143"/>
      <c r="Z3" s="143"/>
      <c r="AA3" s="143"/>
      <c r="AB3" s="143"/>
      <c r="AC3" s="143"/>
      <c r="AE3" s="114">
        <f t="shared" ref="AE3:AI34" si="0">IFERROR(G3/G$17,0)</f>
        <v>0.33303175062729201</v>
      </c>
      <c r="AF3" s="114">
        <f t="shared" si="0"/>
        <v>0.35327072197985987</v>
      </c>
      <c r="AG3" s="114">
        <f t="shared" si="0"/>
        <v>0.3705234311981348</v>
      </c>
      <c r="AH3" s="114">
        <f t="shared" si="0"/>
        <v>0.36009565024177081</v>
      </c>
      <c r="AI3" s="114">
        <f t="shared" si="0"/>
        <v>0.37907394581790077</v>
      </c>
      <c r="AK3" s="115">
        <f t="shared" ref="AK3:AN34" si="1">IFERROR(H3-G3,0)</f>
        <v>2598</v>
      </c>
      <c r="AL3" s="115">
        <f t="shared" si="1"/>
        <v>3327</v>
      </c>
      <c r="AM3" s="115">
        <f t="shared" si="1"/>
        <v>501</v>
      </c>
      <c r="AN3" s="115">
        <f t="shared" si="1"/>
        <v>3733</v>
      </c>
      <c r="AP3" s="114">
        <f t="shared" ref="AP3:AS34" si="2">IFERROR((H3-G3)/G3,0)</f>
        <v>9.4106567174991856E-2</v>
      </c>
      <c r="AQ3" s="114">
        <f t="shared" si="2"/>
        <v>0.11014732660155603</v>
      </c>
      <c r="AR3" s="114">
        <f t="shared" si="2"/>
        <v>1.4940951926517954E-2</v>
      </c>
      <c r="AS3" s="114">
        <f t="shared" si="2"/>
        <v>0.10968765609849264</v>
      </c>
    </row>
    <row r="4" spans="1:45" ht="16.5" customHeight="1" x14ac:dyDescent="0.3">
      <c r="A4" s="116" t="s">
        <v>224</v>
      </c>
      <c r="B4" s="117"/>
      <c r="C4" s="117"/>
      <c r="D4" s="117"/>
      <c r="E4" s="117"/>
      <c r="F4" s="117"/>
      <c r="G4" s="118">
        <v>16487</v>
      </c>
      <c r="H4" s="118">
        <v>15689</v>
      </c>
      <c r="I4" s="118">
        <v>16286</v>
      </c>
      <c r="J4" s="118">
        <v>11975</v>
      </c>
      <c r="K4" s="118">
        <v>17164</v>
      </c>
      <c r="L4" s="118"/>
      <c r="M4" s="118"/>
      <c r="N4" s="118"/>
      <c r="O4" s="118"/>
      <c r="P4" s="118"/>
      <c r="Q4" s="118"/>
      <c r="R4" s="118"/>
      <c r="S4" s="118"/>
      <c r="T4" s="118"/>
      <c r="U4" s="118"/>
      <c r="V4" s="118"/>
      <c r="W4" s="118"/>
      <c r="X4" s="118"/>
      <c r="Y4" s="118"/>
      <c r="Z4" s="118"/>
      <c r="AA4" s="118"/>
      <c r="AB4" s="118"/>
      <c r="AC4" s="118"/>
      <c r="AE4" s="114">
        <f t="shared" si="0"/>
        <v>0.19888776298011968</v>
      </c>
      <c r="AF4" s="114">
        <f t="shared" si="0"/>
        <v>0.18349492988386101</v>
      </c>
      <c r="AG4" s="114">
        <f t="shared" si="0"/>
        <v>0.17995778958883524</v>
      </c>
      <c r="AH4" s="114">
        <f t="shared" si="0"/>
        <v>0.12670482800943805</v>
      </c>
      <c r="AI4" s="114">
        <f t="shared" si="0"/>
        <v>0.17228261415078241</v>
      </c>
      <c r="AK4" s="115">
        <f t="shared" si="1"/>
        <v>-798</v>
      </c>
      <c r="AL4" s="115">
        <f t="shared" si="1"/>
        <v>597</v>
      </c>
      <c r="AM4" s="115">
        <f t="shared" si="1"/>
        <v>-4311</v>
      </c>
      <c r="AN4" s="115">
        <f t="shared" si="1"/>
        <v>5189</v>
      </c>
      <c r="AP4" s="114">
        <f t="shared" si="2"/>
        <v>-4.8401771092375812E-2</v>
      </c>
      <c r="AQ4" s="114">
        <f t="shared" si="2"/>
        <v>3.8052138440945883E-2</v>
      </c>
      <c r="AR4" s="114">
        <f t="shared" si="2"/>
        <v>-0.26470588235294118</v>
      </c>
      <c r="AS4" s="114">
        <f t="shared" si="2"/>
        <v>0.43331941544885177</v>
      </c>
    </row>
    <row r="5" spans="1:45" ht="16.5" customHeight="1" x14ac:dyDescent="0.3">
      <c r="A5" s="116" t="s">
        <v>225</v>
      </c>
      <c r="B5" s="117"/>
      <c r="C5" s="117"/>
      <c r="D5" s="117"/>
      <c r="E5" s="117"/>
      <c r="F5" s="117"/>
      <c r="G5" s="119">
        <v>1.2200000000000001E-2</v>
      </c>
      <c r="H5" s="120">
        <f>IFERROR((H4-G4)/G4,0)</f>
        <v>-4.8401771092375812E-2</v>
      </c>
      <c r="I5" s="119">
        <f>IFERROR((I4-H4)/H4,0)</f>
        <v>3.8052138440945883E-2</v>
      </c>
      <c r="J5" s="120">
        <f>IFERROR((J4-I4)/I4,0)</f>
        <v>-0.26470588235294118</v>
      </c>
      <c r="K5" s="119">
        <f>IFERROR((K4-J4)/J4,0)</f>
        <v>0.43331941544885177</v>
      </c>
      <c r="L5" s="119"/>
      <c r="M5" s="119"/>
      <c r="N5" s="119"/>
      <c r="O5" s="119"/>
      <c r="P5" s="119"/>
      <c r="Q5" s="119"/>
      <c r="R5" s="119"/>
      <c r="S5" s="119"/>
      <c r="T5" s="119"/>
      <c r="U5" s="119"/>
      <c r="V5" s="119"/>
      <c r="W5" s="119"/>
      <c r="X5" s="119"/>
      <c r="Y5" s="119"/>
      <c r="Z5" s="119"/>
      <c r="AA5" s="119"/>
      <c r="AB5" s="119"/>
      <c r="AC5" s="119"/>
      <c r="AE5" s="114">
        <f t="shared" si="0"/>
        <v>1.4717236054815673E-7</v>
      </c>
      <c r="AF5" s="114">
        <f t="shared" si="0"/>
        <v>-5.6609596487030342E-7</v>
      </c>
      <c r="AG5" s="114">
        <f t="shared" si="0"/>
        <v>4.2047026421226626E-7</v>
      </c>
      <c r="AH5" s="114">
        <f t="shared" si="0"/>
        <v>-2.8007944297800381E-6</v>
      </c>
      <c r="AI5" s="114">
        <f t="shared" si="0"/>
        <v>4.3494174816952408E-6</v>
      </c>
      <c r="AK5" s="115">
        <f t="shared" si="1"/>
        <v>-6.0601771092375814E-2</v>
      </c>
      <c r="AL5" s="115">
        <f t="shared" si="1"/>
        <v>8.6453909533321688E-2</v>
      </c>
      <c r="AM5" s="115">
        <f t="shared" si="1"/>
        <v>-0.30275802079388708</v>
      </c>
      <c r="AN5" s="115">
        <f t="shared" si="1"/>
        <v>0.6980252978017929</v>
      </c>
      <c r="AP5" s="114">
        <f t="shared" si="2"/>
        <v>-4.9673582862603123</v>
      </c>
      <c r="AQ5" s="114">
        <f t="shared" si="2"/>
        <v>-1.7861724391928253</v>
      </c>
      <c r="AR5" s="114">
        <f t="shared" si="2"/>
        <v>-7.9563996452852512</v>
      </c>
      <c r="AS5" s="114">
        <f t="shared" si="2"/>
        <v>-2.6369844583623285</v>
      </c>
    </row>
    <row r="6" spans="1:45" ht="16.5" customHeight="1" x14ac:dyDescent="0.3">
      <c r="A6" s="116" t="s">
        <v>226</v>
      </c>
      <c r="B6" s="117"/>
      <c r="C6" s="117"/>
      <c r="D6" s="117"/>
      <c r="E6" s="117"/>
      <c r="F6" s="117"/>
      <c r="G6" s="118">
        <v>2025</v>
      </c>
      <c r="H6" s="118">
        <v>2833</v>
      </c>
      <c r="I6" s="118">
        <v>3842</v>
      </c>
      <c r="J6" s="118">
        <v>3200</v>
      </c>
      <c r="K6" s="118">
        <v>1833</v>
      </c>
      <c r="L6" s="118"/>
      <c r="M6" s="118"/>
      <c r="N6" s="118"/>
      <c r="O6" s="118"/>
      <c r="P6" s="118"/>
      <c r="Q6" s="118"/>
      <c r="R6" s="118"/>
      <c r="S6" s="118"/>
      <c r="T6" s="118"/>
      <c r="U6" s="118"/>
      <c r="V6" s="118"/>
      <c r="W6" s="118"/>
      <c r="X6" s="118"/>
      <c r="Y6" s="118"/>
      <c r="Z6" s="118"/>
      <c r="AA6" s="118"/>
      <c r="AB6" s="118"/>
      <c r="AC6" s="118"/>
      <c r="AE6" s="114">
        <f t="shared" si="0"/>
        <v>2.4428199189345686E-2</v>
      </c>
      <c r="AF6" s="114">
        <f t="shared" si="0"/>
        <v>3.3134115390463272E-2</v>
      </c>
      <c r="AG6" s="114">
        <f t="shared" si="0"/>
        <v>4.2453507773566559E-2</v>
      </c>
      <c r="AH6" s="114">
        <f t="shared" si="0"/>
        <v>3.3858492662229796E-2</v>
      </c>
      <c r="AI6" s="114">
        <f t="shared" si="0"/>
        <v>1.8398626878255893E-2</v>
      </c>
      <c r="AK6" s="115">
        <f t="shared" si="1"/>
        <v>808</v>
      </c>
      <c r="AL6" s="115">
        <f t="shared" si="1"/>
        <v>1009</v>
      </c>
      <c r="AM6" s="115">
        <f t="shared" si="1"/>
        <v>-642</v>
      </c>
      <c r="AN6" s="115">
        <f t="shared" si="1"/>
        <v>-1367</v>
      </c>
      <c r="AP6" s="114">
        <f t="shared" si="2"/>
        <v>0.39901234567901234</v>
      </c>
      <c r="AQ6" s="114">
        <f t="shared" si="2"/>
        <v>0.35615954818213907</v>
      </c>
      <c r="AR6" s="114">
        <f t="shared" si="2"/>
        <v>-0.16710046850598648</v>
      </c>
      <c r="AS6" s="114">
        <f t="shared" si="2"/>
        <v>-0.4271875</v>
      </c>
    </row>
    <row r="7" spans="1:45" ht="16.5" customHeight="1" x14ac:dyDescent="0.3">
      <c r="A7" s="121" t="s">
        <v>227</v>
      </c>
      <c r="B7" s="117"/>
      <c r="C7" s="117"/>
      <c r="D7" s="117"/>
      <c r="E7" s="117"/>
      <c r="F7" s="117"/>
      <c r="G7" s="122">
        <f>SUM(G8,G9)</f>
        <v>3809</v>
      </c>
      <c r="H7" s="122">
        <f>SUM(H8,H9)</f>
        <v>4142</v>
      </c>
      <c r="I7" s="122">
        <f>SUM(I8,I9)</f>
        <v>4680</v>
      </c>
      <c r="J7" s="122">
        <f>SUM(J8,J9)</f>
        <v>7847</v>
      </c>
      <c r="K7" s="122">
        <f>SUM(K8,K9)</f>
        <v>7549</v>
      </c>
      <c r="L7" s="147"/>
      <c r="M7" s="147"/>
      <c r="N7" s="147"/>
      <c r="O7" s="147"/>
      <c r="P7" s="147"/>
      <c r="Q7" s="147"/>
      <c r="R7" s="147"/>
      <c r="S7" s="147"/>
      <c r="T7" s="147"/>
      <c r="U7" s="147"/>
      <c r="V7" s="147"/>
      <c r="W7" s="147"/>
      <c r="X7" s="147"/>
      <c r="Y7" s="147"/>
      <c r="Z7" s="147"/>
      <c r="AA7" s="147"/>
      <c r="AB7" s="147"/>
      <c r="AC7" s="147"/>
      <c r="AE7" s="114">
        <f t="shared" si="0"/>
        <v>4.5949141092453197E-2</v>
      </c>
      <c r="AF7" s="114">
        <f t="shared" si="0"/>
        <v>4.8443877849381881E-2</v>
      </c>
      <c r="AG7" s="114">
        <f t="shared" si="0"/>
        <v>5.1713278599763532E-2</v>
      </c>
      <c r="AH7" s="114">
        <f t="shared" si="0"/>
        <v>8.302737247516162E-2</v>
      </c>
      <c r="AI7" s="114">
        <f t="shared" si="0"/>
        <v>7.5772631917050595E-2</v>
      </c>
      <c r="AK7" s="115">
        <f t="shared" si="1"/>
        <v>333</v>
      </c>
      <c r="AL7" s="115">
        <f t="shared" si="1"/>
        <v>538</v>
      </c>
      <c r="AM7" s="115">
        <f t="shared" si="1"/>
        <v>3167</v>
      </c>
      <c r="AN7" s="115">
        <f t="shared" si="1"/>
        <v>-298</v>
      </c>
      <c r="AP7" s="114">
        <f t="shared" si="2"/>
        <v>8.7424520871619851E-2</v>
      </c>
      <c r="AQ7" s="114">
        <f t="shared" si="2"/>
        <v>0.12988894253983582</v>
      </c>
      <c r="AR7" s="114">
        <f t="shared" si="2"/>
        <v>0.67670940170940175</v>
      </c>
      <c r="AS7" s="114">
        <f t="shared" si="2"/>
        <v>-3.7976296673888112E-2</v>
      </c>
    </row>
    <row r="8" spans="1:45" ht="16.5" customHeight="1" x14ac:dyDescent="0.3">
      <c r="A8" s="116" t="s">
        <v>228</v>
      </c>
      <c r="B8" s="117"/>
      <c r="C8" s="117"/>
      <c r="D8" s="117"/>
      <c r="E8" s="117"/>
      <c r="F8" s="117"/>
      <c r="G8" s="118">
        <v>3726</v>
      </c>
      <c r="H8" s="118">
        <v>3952</v>
      </c>
      <c r="I8" s="118">
        <v>4474</v>
      </c>
      <c r="J8" s="118">
        <v>7015</v>
      </c>
      <c r="K8" s="118">
        <v>7317</v>
      </c>
      <c r="L8" s="118"/>
      <c r="M8" s="118"/>
      <c r="N8" s="118"/>
      <c r="O8" s="118"/>
      <c r="P8" s="118"/>
      <c r="Q8" s="118"/>
      <c r="R8" s="118"/>
      <c r="S8" s="118"/>
      <c r="T8" s="118"/>
      <c r="U8" s="118"/>
      <c r="V8" s="118"/>
      <c r="W8" s="118"/>
      <c r="X8" s="118"/>
      <c r="Y8" s="118"/>
      <c r="Z8" s="118"/>
      <c r="AA8" s="118"/>
      <c r="AB8" s="118"/>
      <c r="AC8" s="118"/>
      <c r="AE8" s="114">
        <f t="shared" si="0"/>
        <v>4.4947886508396061E-2</v>
      </c>
      <c r="AF8" s="114">
        <f t="shared" si="0"/>
        <v>4.6221681617758859E-2</v>
      </c>
      <c r="AG8" s="114">
        <f t="shared" si="0"/>
        <v>4.9437010353705568E-2</v>
      </c>
      <c r="AH8" s="114">
        <f t="shared" si="0"/>
        <v>7.4224164382981878E-2</v>
      </c>
      <c r="AI8" s="114">
        <f t="shared" si="0"/>
        <v>7.3443945918275161E-2</v>
      </c>
      <c r="AK8" s="115">
        <f t="shared" si="1"/>
        <v>226</v>
      </c>
      <c r="AL8" s="115">
        <f t="shared" si="1"/>
        <v>522</v>
      </c>
      <c r="AM8" s="115">
        <f t="shared" si="1"/>
        <v>2541</v>
      </c>
      <c r="AN8" s="115">
        <f t="shared" si="1"/>
        <v>302</v>
      </c>
      <c r="AP8" s="114">
        <f t="shared" si="2"/>
        <v>6.065485775630703E-2</v>
      </c>
      <c r="AQ8" s="114">
        <f t="shared" si="2"/>
        <v>0.13208502024291499</v>
      </c>
      <c r="AR8" s="114">
        <f t="shared" si="2"/>
        <v>0.56794814483683509</v>
      </c>
      <c r="AS8" s="114">
        <f t="shared" si="2"/>
        <v>4.3050605844618672E-2</v>
      </c>
    </row>
    <row r="9" spans="1:45" ht="16.5" customHeight="1" x14ac:dyDescent="0.3">
      <c r="A9" s="116" t="s">
        <v>229</v>
      </c>
      <c r="B9" s="117"/>
      <c r="C9" s="117"/>
      <c r="D9" s="117"/>
      <c r="E9" s="117"/>
      <c r="F9" s="117"/>
      <c r="G9" s="123">
        <v>83</v>
      </c>
      <c r="H9" s="123">
        <v>190</v>
      </c>
      <c r="I9" s="123">
        <v>206</v>
      </c>
      <c r="J9" s="123">
        <v>832</v>
      </c>
      <c r="K9" s="123">
        <v>232</v>
      </c>
      <c r="L9" s="123"/>
      <c r="M9" s="123"/>
      <c r="N9" s="123"/>
      <c r="O9" s="123"/>
      <c r="P9" s="123"/>
      <c r="Q9" s="123"/>
      <c r="R9" s="123"/>
      <c r="S9" s="123"/>
      <c r="T9" s="123"/>
      <c r="U9" s="123"/>
      <c r="V9" s="123"/>
      <c r="W9" s="123"/>
      <c r="X9" s="123"/>
      <c r="Y9" s="123"/>
      <c r="Z9" s="123"/>
      <c r="AA9" s="123"/>
      <c r="AB9" s="123"/>
      <c r="AC9" s="123"/>
      <c r="AE9" s="114">
        <f t="shared" si="0"/>
        <v>1.0012545840571319E-3</v>
      </c>
      <c r="AF9" s="114">
        <f t="shared" si="0"/>
        <v>2.222196231623022E-3</v>
      </c>
      <c r="AG9" s="114">
        <f t="shared" si="0"/>
        <v>2.2762682460579675E-3</v>
      </c>
      <c r="AH9" s="114">
        <f t="shared" si="0"/>
        <v>8.8032080921797463E-3</v>
      </c>
      <c r="AI9" s="114">
        <f t="shared" si="0"/>
        <v>2.3286859987754322E-3</v>
      </c>
      <c r="AK9" s="115">
        <f t="shared" si="1"/>
        <v>107</v>
      </c>
      <c r="AL9" s="115">
        <f t="shared" si="1"/>
        <v>16</v>
      </c>
      <c r="AM9" s="115">
        <f t="shared" si="1"/>
        <v>626</v>
      </c>
      <c r="AN9" s="115">
        <f t="shared" si="1"/>
        <v>-600</v>
      </c>
      <c r="AP9" s="114">
        <f t="shared" si="2"/>
        <v>1.2891566265060241</v>
      </c>
      <c r="AQ9" s="114">
        <f t="shared" si="2"/>
        <v>8.4210526315789472E-2</v>
      </c>
      <c r="AR9" s="114">
        <f t="shared" si="2"/>
        <v>3.0388349514563107</v>
      </c>
      <c r="AS9" s="114">
        <f t="shared" si="2"/>
        <v>-0.72115384615384615</v>
      </c>
    </row>
    <row r="10" spans="1:45" ht="16.5" customHeight="1" x14ac:dyDescent="0.3">
      <c r="A10" s="116" t="s">
        <v>82</v>
      </c>
      <c r="B10" s="117"/>
      <c r="C10" s="117"/>
      <c r="D10" s="117"/>
      <c r="E10" s="117"/>
      <c r="F10" s="117"/>
      <c r="G10" s="123" t="s">
        <v>230</v>
      </c>
      <c r="H10" s="123" t="s">
        <v>230</v>
      </c>
      <c r="I10" s="123" t="s">
        <v>230</v>
      </c>
      <c r="J10" s="123" t="s">
        <v>230</v>
      </c>
      <c r="K10" s="123" t="s">
        <v>230</v>
      </c>
      <c r="L10" s="123"/>
      <c r="M10" s="123"/>
      <c r="N10" s="123"/>
      <c r="O10" s="123"/>
      <c r="P10" s="123"/>
      <c r="Q10" s="123"/>
      <c r="R10" s="123"/>
      <c r="S10" s="123"/>
      <c r="T10" s="123"/>
      <c r="U10" s="123"/>
      <c r="V10" s="123"/>
      <c r="W10" s="123"/>
      <c r="X10" s="123"/>
      <c r="Y10" s="123"/>
      <c r="Z10" s="123"/>
      <c r="AA10" s="123"/>
      <c r="AB10" s="123"/>
      <c r="AC10" s="123"/>
      <c r="AE10" s="114">
        <f t="shared" si="0"/>
        <v>0</v>
      </c>
      <c r="AF10" s="114">
        <f t="shared" si="0"/>
        <v>0</v>
      </c>
      <c r="AG10" s="114">
        <f t="shared" si="0"/>
        <v>0</v>
      </c>
      <c r="AH10" s="114">
        <f t="shared" si="0"/>
        <v>0</v>
      </c>
      <c r="AI10" s="114">
        <f t="shared" si="0"/>
        <v>0</v>
      </c>
      <c r="AK10" s="115">
        <f t="shared" si="1"/>
        <v>0</v>
      </c>
      <c r="AL10" s="115">
        <f t="shared" si="1"/>
        <v>0</v>
      </c>
      <c r="AM10" s="115">
        <f t="shared" si="1"/>
        <v>0</v>
      </c>
      <c r="AN10" s="115">
        <f t="shared" si="1"/>
        <v>0</v>
      </c>
      <c r="AP10" s="114">
        <f t="shared" si="2"/>
        <v>0</v>
      </c>
      <c r="AQ10" s="114">
        <f t="shared" si="2"/>
        <v>0</v>
      </c>
      <c r="AR10" s="114">
        <f t="shared" si="2"/>
        <v>0</v>
      </c>
      <c r="AS10" s="114">
        <f t="shared" si="2"/>
        <v>0</v>
      </c>
    </row>
    <row r="11" spans="1:45" ht="16.5" customHeight="1" x14ac:dyDescent="0.3">
      <c r="A11" s="116" t="s">
        <v>231</v>
      </c>
      <c r="B11" s="117"/>
      <c r="C11" s="117"/>
      <c r="D11" s="117"/>
      <c r="E11" s="117"/>
      <c r="F11" s="117"/>
      <c r="G11" s="123">
        <v>613</v>
      </c>
      <c r="H11" s="123">
        <v>828</v>
      </c>
      <c r="I11" s="118">
        <v>1328</v>
      </c>
      <c r="J11" s="118">
        <v>1238</v>
      </c>
      <c r="K11" s="123">
        <v>985</v>
      </c>
      <c r="L11" s="123"/>
      <c r="M11" s="123"/>
      <c r="N11" s="123"/>
      <c r="O11" s="123"/>
      <c r="P11" s="123"/>
      <c r="Q11" s="123"/>
      <c r="R11" s="123"/>
      <c r="S11" s="123"/>
      <c r="T11" s="123"/>
      <c r="U11" s="123"/>
      <c r="V11" s="123"/>
      <c r="W11" s="123"/>
      <c r="X11" s="123"/>
      <c r="Y11" s="123"/>
      <c r="Z11" s="123"/>
      <c r="AA11" s="123"/>
      <c r="AB11" s="123"/>
      <c r="AC11" s="123"/>
      <c r="AE11" s="114">
        <f t="shared" si="0"/>
        <v>7.3948079521327925E-3</v>
      </c>
      <c r="AF11" s="114">
        <f t="shared" si="0"/>
        <v>9.6840972620203265E-3</v>
      </c>
      <c r="AG11" s="114">
        <f t="shared" si="0"/>
        <v>1.4674195294975635E-2</v>
      </c>
      <c r="AH11" s="114">
        <f t="shared" si="0"/>
        <v>1.3099004348700151E-2</v>
      </c>
      <c r="AI11" s="114">
        <f t="shared" si="0"/>
        <v>9.8868780551456936E-3</v>
      </c>
      <c r="AK11" s="115">
        <f t="shared" si="1"/>
        <v>215</v>
      </c>
      <c r="AL11" s="115">
        <f t="shared" si="1"/>
        <v>500</v>
      </c>
      <c r="AM11" s="115">
        <f t="shared" si="1"/>
        <v>-90</v>
      </c>
      <c r="AN11" s="115">
        <f t="shared" si="1"/>
        <v>-253</v>
      </c>
      <c r="AP11" s="114">
        <f t="shared" si="2"/>
        <v>0.35073409461663946</v>
      </c>
      <c r="AQ11" s="114">
        <f t="shared" si="2"/>
        <v>0.60386473429951693</v>
      </c>
      <c r="AR11" s="114">
        <f t="shared" si="2"/>
        <v>-6.7771084337349394E-2</v>
      </c>
      <c r="AS11" s="114">
        <f t="shared" si="2"/>
        <v>-0.20436187399030695</v>
      </c>
    </row>
    <row r="12" spans="1:45" ht="16.5" customHeight="1" x14ac:dyDescent="0.3">
      <c r="A12" s="116" t="s">
        <v>232</v>
      </c>
      <c r="B12" s="117"/>
      <c r="C12" s="117"/>
      <c r="D12" s="117"/>
      <c r="E12" s="117"/>
      <c r="F12" s="117"/>
      <c r="G12" s="123" t="s">
        <v>230</v>
      </c>
      <c r="H12" s="123" t="s">
        <v>230</v>
      </c>
      <c r="I12" s="123" t="s">
        <v>230</v>
      </c>
      <c r="J12" s="123" t="s">
        <v>230</v>
      </c>
      <c r="K12" s="123" t="s">
        <v>230</v>
      </c>
      <c r="L12" s="123"/>
      <c r="M12" s="123"/>
      <c r="N12" s="123"/>
      <c r="O12" s="123"/>
      <c r="P12" s="123"/>
      <c r="Q12" s="123"/>
      <c r="R12" s="123"/>
      <c r="S12" s="123"/>
      <c r="T12" s="123"/>
      <c r="U12" s="123"/>
      <c r="V12" s="123"/>
      <c r="W12" s="123"/>
      <c r="X12" s="123"/>
      <c r="Y12" s="123"/>
      <c r="Z12" s="123"/>
      <c r="AA12" s="123"/>
      <c r="AB12" s="123"/>
      <c r="AC12" s="123"/>
      <c r="AE12" s="114">
        <f t="shared" si="0"/>
        <v>0</v>
      </c>
      <c r="AF12" s="114">
        <f t="shared" si="0"/>
        <v>0</v>
      </c>
      <c r="AG12" s="114">
        <f t="shared" si="0"/>
        <v>0</v>
      </c>
      <c r="AH12" s="114">
        <f t="shared" si="0"/>
        <v>0</v>
      </c>
      <c r="AI12" s="114">
        <f t="shared" si="0"/>
        <v>0</v>
      </c>
      <c r="AK12" s="115">
        <f t="shared" si="1"/>
        <v>0</v>
      </c>
      <c r="AL12" s="115">
        <f t="shared" si="1"/>
        <v>0</v>
      </c>
      <c r="AM12" s="115">
        <f t="shared" si="1"/>
        <v>0</v>
      </c>
      <c r="AN12" s="115">
        <f t="shared" si="1"/>
        <v>0</v>
      </c>
      <c r="AP12" s="114">
        <f t="shared" si="2"/>
        <v>0</v>
      </c>
      <c r="AQ12" s="114">
        <f t="shared" si="2"/>
        <v>0</v>
      </c>
      <c r="AR12" s="114">
        <f t="shared" si="2"/>
        <v>0</v>
      </c>
      <c r="AS12" s="114">
        <f t="shared" si="2"/>
        <v>0</v>
      </c>
    </row>
    <row r="13" spans="1:45" ht="16.5" customHeight="1" x14ac:dyDescent="0.3">
      <c r="A13" s="116" t="s">
        <v>233</v>
      </c>
      <c r="B13" s="117"/>
      <c r="C13" s="117"/>
      <c r="D13" s="117"/>
      <c r="E13" s="117"/>
      <c r="F13" s="117"/>
      <c r="G13" s="123" t="s">
        <v>230</v>
      </c>
      <c r="H13" s="123" t="s">
        <v>230</v>
      </c>
      <c r="I13" s="123" t="s">
        <v>230</v>
      </c>
      <c r="J13" s="123" t="s">
        <v>230</v>
      </c>
      <c r="K13" s="123" t="s">
        <v>230</v>
      </c>
      <c r="L13" s="123"/>
      <c r="M13" s="123"/>
      <c r="N13" s="123"/>
      <c r="O13" s="123"/>
      <c r="P13" s="123"/>
      <c r="Q13" s="123"/>
      <c r="R13" s="123"/>
      <c r="S13" s="123"/>
      <c r="T13" s="123"/>
      <c r="U13" s="123"/>
      <c r="V13" s="123"/>
      <c r="W13" s="123"/>
      <c r="X13" s="123"/>
      <c r="Y13" s="123"/>
      <c r="Z13" s="123"/>
      <c r="AA13" s="123"/>
      <c r="AB13" s="123"/>
      <c r="AC13" s="123"/>
      <c r="AE13" s="114">
        <f t="shared" si="0"/>
        <v>0</v>
      </c>
      <c r="AF13" s="114">
        <f t="shared" si="0"/>
        <v>0</v>
      </c>
      <c r="AG13" s="114">
        <f t="shared" si="0"/>
        <v>0</v>
      </c>
      <c r="AH13" s="114">
        <f t="shared" si="0"/>
        <v>0</v>
      </c>
      <c r="AI13" s="114">
        <f t="shared" si="0"/>
        <v>0</v>
      </c>
      <c r="AK13" s="115">
        <f t="shared" si="1"/>
        <v>0</v>
      </c>
      <c r="AL13" s="115">
        <f t="shared" si="1"/>
        <v>0</v>
      </c>
      <c r="AM13" s="115">
        <f t="shared" si="1"/>
        <v>0</v>
      </c>
      <c r="AN13" s="115">
        <f t="shared" si="1"/>
        <v>0</v>
      </c>
      <c r="AP13" s="114">
        <f t="shared" si="2"/>
        <v>0</v>
      </c>
      <c r="AQ13" s="114">
        <f t="shared" si="2"/>
        <v>0</v>
      </c>
      <c r="AR13" s="114">
        <f t="shared" si="2"/>
        <v>0</v>
      </c>
      <c r="AS13" s="114">
        <f t="shared" si="2"/>
        <v>0</v>
      </c>
    </row>
    <row r="14" spans="1:45" ht="16.5" customHeight="1" x14ac:dyDescent="0.3">
      <c r="A14" s="121" t="s">
        <v>234</v>
      </c>
      <c r="B14" s="117"/>
      <c r="C14" s="117"/>
      <c r="D14" s="117"/>
      <c r="E14" s="117"/>
      <c r="F14" s="117"/>
      <c r="G14" s="122">
        <f>SUM(G15,G16)</f>
        <v>4673</v>
      </c>
      <c r="H14" s="122">
        <f>SUM(H15,H16)</f>
        <v>6713</v>
      </c>
      <c r="I14" s="122">
        <f>SUM(I15,I16)</f>
        <v>7396</v>
      </c>
      <c r="J14" s="122">
        <f>SUM(J15,J16)</f>
        <v>9773</v>
      </c>
      <c r="K14" s="122">
        <f>SUM(K15,K16)</f>
        <v>10235</v>
      </c>
      <c r="L14" s="147"/>
      <c r="M14" s="147"/>
      <c r="N14" s="147"/>
      <c r="O14" s="147"/>
      <c r="P14" s="147"/>
      <c r="Q14" s="147"/>
      <c r="R14" s="147"/>
      <c r="S14" s="147"/>
      <c r="T14" s="147"/>
      <c r="U14" s="147"/>
      <c r="V14" s="147"/>
      <c r="W14" s="147"/>
      <c r="X14" s="147"/>
      <c r="Y14" s="147"/>
      <c r="Z14" s="147"/>
      <c r="AA14" s="147"/>
      <c r="AB14" s="147"/>
      <c r="AC14" s="147"/>
      <c r="AE14" s="114">
        <f t="shared" si="0"/>
        <v>5.6371839413240685E-2</v>
      </c>
      <c r="AF14" s="114">
        <f t="shared" si="0"/>
        <v>7.85137015941334E-2</v>
      </c>
      <c r="AG14" s="114">
        <f t="shared" si="0"/>
        <v>8.172465994099383E-2</v>
      </c>
      <c r="AH14" s="114">
        <f t="shared" si="0"/>
        <v>0.10340595274624118</v>
      </c>
      <c r="AI14" s="114">
        <f t="shared" si="0"/>
        <v>0.10273319481666617</v>
      </c>
      <c r="AK14" s="115">
        <f t="shared" si="1"/>
        <v>2040</v>
      </c>
      <c r="AL14" s="115">
        <f t="shared" si="1"/>
        <v>683</v>
      </c>
      <c r="AM14" s="115">
        <f t="shared" si="1"/>
        <v>2377</v>
      </c>
      <c r="AN14" s="115">
        <f t="shared" si="1"/>
        <v>462</v>
      </c>
      <c r="AP14" s="114">
        <f t="shared" si="2"/>
        <v>0.43655039589129041</v>
      </c>
      <c r="AQ14" s="114">
        <f t="shared" si="2"/>
        <v>0.10174288693579622</v>
      </c>
      <c r="AR14" s="114">
        <f t="shared" si="2"/>
        <v>0.32138994050838293</v>
      </c>
      <c r="AS14" s="114">
        <f t="shared" si="2"/>
        <v>4.7273099355366825E-2</v>
      </c>
    </row>
    <row r="15" spans="1:45" ht="16.5" customHeight="1" x14ac:dyDescent="0.3">
      <c r="A15" s="116" t="s">
        <v>235</v>
      </c>
      <c r="B15" s="117"/>
      <c r="C15" s="117"/>
      <c r="D15" s="117"/>
      <c r="E15" s="117"/>
      <c r="F15" s="117"/>
      <c r="G15" s="118">
        <v>1052</v>
      </c>
      <c r="H15" s="118">
        <v>2346</v>
      </c>
      <c r="I15" s="118">
        <v>2699</v>
      </c>
      <c r="J15" s="118">
        <v>4264</v>
      </c>
      <c r="K15" s="118">
        <v>4198</v>
      </c>
      <c r="L15" s="118"/>
      <c r="M15" s="118"/>
      <c r="N15" s="118"/>
      <c r="O15" s="118"/>
      <c r="P15" s="118"/>
      <c r="Q15" s="118"/>
      <c r="R15" s="118"/>
      <c r="S15" s="118"/>
      <c r="T15" s="118"/>
      <c r="U15" s="118"/>
      <c r="V15" s="118"/>
      <c r="W15" s="118"/>
      <c r="X15" s="118"/>
      <c r="Y15" s="118"/>
      <c r="Z15" s="118"/>
      <c r="AA15" s="118"/>
      <c r="AB15" s="118"/>
      <c r="AC15" s="118"/>
      <c r="AE15" s="114">
        <f t="shared" si="0"/>
        <v>1.2690600270218105E-2</v>
      </c>
      <c r="AF15" s="114">
        <f t="shared" si="0"/>
        <v>2.7438275575724261E-2</v>
      </c>
      <c r="AG15" s="114">
        <f t="shared" si="0"/>
        <v>2.9823533961701235E-2</v>
      </c>
      <c r="AH15" s="114">
        <f t="shared" si="0"/>
        <v>4.51164414724212E-2</v>
      </c>
      <c r="AI15" s="114">
        <f t="shared" si="0"/>
        <v>4.2137171650255455E-2</v>
      </c>
      <c r="AK15" s="115">
        <f t="shared" si="1"/>
        <v>1294</v>
      </c>
      <c r="AL15" s="115">
        <f t="shared" si="1"/>
        <v>353</v>
      </c>
      <c r="AM15" s="115">
        <f t="shared" si="1"/>
        <v>1565</v>
      </c>
      <c r="AN15" s="115">
        <f t="shared" si="1"/>
        <v>-66</v>
      </c>
      <c r="AP15" s="114">
        <f t="shared" si="2"/>
        <v>1.2300380228136882</v>
      </c>
      <c r="AQ15" s="114">
        <f t="shared" si="2"/>
        <v>0.15046888320545609</v>
      </c>
      <c r="AR15" s="114">
        <f t="shared" si="2"/>
        <v>0.57984438680992956</v>
      </c>
      <c r="AS15" s="114">
        <f t="shared" si="2"/>
        <v>-1.547842401500938E-2</v>
      </c>
    </row>
    <row r="16" spans="1:45" ht="16.5" customHeight="1" x14ac:dyDescent="0.3">
      <c r="A16" s="116" t="s">
        <v>236</v>
      </c>
      <c r="B16" s="117"/>
      <c r="C16" s="117"/>
      <c r="D16" s="117"/>
      <c r="E16" s="117"/>
      <c r="F16" s="117"/>
      <c r="G16" s="118">
        <v>3621</v>
      </c>
      <c r="H16" s="118">
        <v>4367</v>
      </c>
      <c r="I16" s="118">
        <v>4697</v>
      </c>
      <c r="J16" s="118">
        <v>5509</v>
      </c>
      <c r="K16" s="118">
        <v>6037</v>
      </c>
      <c r="L16" s="118"/>
      <c r="M16" s="118"/>
      <c r="N16" s="118"/>
      <c r="O16" s="118"/>
      <c r="P16" s="118"/>
      <c r="Q16" s="118"/>
      <c r="R16" s="118"/>
      <c r="S16" s="118"/>
      <c r="T16" s="118"/>
      <c r="U16" s="118"/>
      <c r="V16" s="118"/>
      <c r="W16" s="118"/>
      <c r="X16" s="118"/>
      <c r="Y16" s="118"/>
      <c r="Z16" s="118"/>
      <c r="AA16" s="118"/>
      <c r="AB16" s="118"/>
      <c r="AC16" s="118"/>
      <c r="AE16" s="114">
        <f t="shared" si="0"/>
        <v>4.3681239143022584E-2</v>
      </c>
      <c r="AF16" s="114">
        <f t="shared" si="0"/>
        <v>5.1075426018409142E-2</v>
      </c>
      <c r="AG16" s="114">
        <f t="shared" si="0"/>
        <v>5.1901125979292591E-2</v>
      </c>
      <c r="AH16" s="114">
        <f t="shared" si="0"/>
        <v>5.8289511273819976E-2</v>
      </c>
      <c r="AI16" s="114">
        <f t="shared" si="0"/>
        <v>6.059602316641071E-2</v>
      </c>
      <c r="AK16" s="115">
        <f t="shared" si="1"/>
        <v>746</v>
      </c>
      <c r="AL16" s="115">
        <f t="shared" si="1"/>
        <v>330</v>
      </c>
      <c r="AM16" s="115">
        <f t="shared" si="1"/>
        <v>812</v>
      </c>
      <c r="AN16" s="115">
        <f t="shared" si="1"/>
        <v>528</v>
      </c>
      <c r="AP16" s="114">
        <f t="shared" si="2"/>
        <v>0.20602043634355149</v>
      </c>
      <c r="AQ16" s="114">
        <f t="shared" si="2"/>
        <v>7.5566750629722929E-2</v>
      </c>
      <c r="AR16" s="114">
        <f t="shared" si="2"/>
        <v>0.17287630402384502</v>
      </c>
      <c r="AS16" s="114">
        <f t="shared" si="2"/>
        <v>9.5843165728807411E-2</v>
      </c>
    </row>
    <row r="17" spans="1:45" ht="17.25" customHeight="1" thickBot="1" x14ac:dyDescent="0.35">
      <c r="A17" s="111" t="s">
        <v>237</v>
      </c>
      <c r="B17" s="112"/>
      <c r="C17" s="112"/>
      <c r="D17" s="112"/>
      <c r="E17" s="112"/>
      <c r="F17" s="112"/>
      <c r="G17" s="113">
        <f>SUM(G3,G19,G22,G23,G27)</f>
        <v>82896</v>
      </c>
      <c r="H17" s="113">
        <f>SUM(H3,H19,H22,H23,H27)</f>
        <v>85501</v>
      </c>
      <c r="I17" s="113">
        <f>SUM(I3,I19,I22,I23,I27)</f>
        <v>90499</v>
      </c>
      <c r="J17" s="113">
        <f>SUM(J3,J19,J22,J23,J27)</f>
        <v>94511</v>
      </c>
      <c r="K17" s="113">
        <f>SUM(K3,K19,K22,K23,K27)</f>
        <v>99627</v>
      </c>
      <c r="L17" s="143"/>
      <c r="M17" s="143"/>
      <c r="N17" s="143"/>
      <c r="O17" s="143"/>
      <c r="P17" s="143"/>
      <c r="Q17" s="143"/>
      <c r="R17" s="143"/>
      <c r="S17" s="143"/>
      <c r="T17" s="143"/>
      <c r="U17" s="143"/>
      <c r="V17" s="143"/>
      <c r="W17" s="143"/>
      <c r="X17" s="143"/>
      <c r="Y17" s="143"/>
      <c r="Z17" s="143"/>
      <c r="AA17" s="143"/>
      <c r="AB17" s="143"/>
      <c r="AC17" s="143"/>
      <c r="AE17" s="114">
        <f t="shared" si="0"/>
        <v>1</v>
      </c>
      <c r="AF17" s="114">
        <f t="shared" si="0"/>
        <v>1</v>
      </c>
      <c r="AG17" s="114">
        <f t="shared" si="0"/>
        <v>1</v>
      </c>
      <c r="AH17" s="114">
        <f t="shared" si="0"/>
        <v>1</v>
      </c>
      <c r="AI17" s="114">
        <f t="shared" si="0"/>
        <v>1</v>
      </c>
      <c r="AK17" s="115">
        <f t="shared" si="1"/>
        <v>2605</v>
      </c>
      <c r="AL17" s="115">
        <f t="shared" si="1"/>
        <v>4998</v>
      </c>
      <c r="AM17" s="115">
        <f t="shared" si="1"/>
        <v>4012</v>
      </c>
      <c r="AN17" s="115">
        <f t="shared" si="1"/>
        <v>5116</v>
      </c>
      <c r="AP17" s="114">
        <f t="shared" si="2"/>
        <v>3.142491796950396E-2</v>
      </c>
      <c r="AQ17" s="114">
        <f t="shared" si="2"/>
        <v>5.8455456661325601E-2</v>
      </c>
      <c r="AR17" s="114">
        <f t="shared" si="2"/>
        <v>4.4331981568857114E-2</v>
      </c>
      <c r="AS17" s="114">
        <f t="shared" si="2"/>
        <v>5.4131265143739879E-2</v>
      </c>
    </row>
    <row r="18" spans="1:45" ht="16.5" customHeight="1" x14ac:dyDescent="0.3">
      <c r="A18" s="116" t="s">
        <v>238</v>
      </c>
      <c r="B18" s="117"/>
      <c r="C18" s="117"/>
      <c r="D18" s="117"/>
      <c r="E18" s="117"/>
      <c r="F18" s="117"/>
      <c r="G18" s="119">
        <v>2.4400000000000002E-2</v>
      </c>
      <c r="H18" s="119">
        <f>IFERROR((H17-G17)/G17,0)</f>
        <v>3.142491796950396E-2</v>
      </c>
      <c r="I18" s="119">
        <f>IFERROR((I17-H17)/H17,0)</f>
        <v>5.8455456661325601E-2</v>
      </c>
      <c r="J18" s="119">
        <f>IFERROR((J17-I17)/I17,0)</f>
        <v>4.4331981568857114E-2</v>
      </c>
      <c r="K18" s="119">
        <f>IFERROR((K17-J17)/J17,0)</f>
        <v>5.4131265143739879E-2</v>
      </c>
      <c r="L18" s="119"/>
      <c r="M18" s="119"/>
      <c r="N18" s="119"/>
      <c r="O18" s="119"/>
      <c r="P18" s="119"/>
      <c r="Q18" s="119"/>
      <c r="R18" s="119"/>
      <c r="S18" s="119"/>
      <c r="T18" s="119"/>
      <c r="U18" s="119"/>
      <c r="V18" s="119"/>
      <c r="W18" s="119"/>
      <c r="X18" s="119"/>
      <c r="Y18" s="119"/>
      <c r="Z18" s="119"/>
      <c r="AA18" s="119"/>
      <c r="AB18" s="119"/>
      <c r="AC18" s="119"/>
      <c r="AE18" s="114">
        <f t="shared" si="0"/>
        <v>2.9434472109631347E-7</v>
      </c>
      <c r="AF18" s="114">
        <f t="shared" si="0"/>
        <v>3.6753860153102256E-7</v>
      </c>
      <c r="AG18" s="114">
        <f t="shared" si="0"/>
        <v>6.4592378547084054E-7</v>
      </c>
      <c r="AH18" s="114">
        <f t="shared" si="0"/>
        <v>4.6906689770351721E-7</v>
      </c>
      <c r="AI18" s="114">
        <f t="shared" si="0"/>
        <v>5.4333930705270538E-7</v>
      </c>
      <c r="AK18" s="115">
        <f t="shared" si="1"/>
        <v>7.0249179695039583E-3</v>
      </c>
      <c r="AL18" s="115">
        <f t="shared" si="1"/>
        <v>2.7030538691821641E-2</v>
      </c>
      <c r="AM18" s="115">
        <f t="shared" si="1"/>
        <v>-1.4123475092468488E-2</v>
      </c>
      <c r="AN18" s="115">
        <f t="shared" si="1"/>
        <v>9.7992835748827653E-3</v>
      </c>
      <c r="AP18" s="114">
        <f t="shared" si="2"/>
        <v>0.28790647415999826</v>
      </c>
      <c r="AQ18" s="114">
        <f t="shared" si="2"/>
        <v>0.86016258556516179</v>
      </c>
      <c r="AR18" s="114">
        <f t="shared" si="2"/>
        <v>-0.24161089313348302</v>
      </c>
      <c r="AS18" s="114">
        <f t="shared" si="2"/>
        <v>0.2210432114265492</v>
      </c>
    </row>
    <row r="19" spans="1:45" ht="16.5" customHeight="1" x14ac:dyDescent="0.3">
      <c r="A19" s="121" t="s">
        <v>239</v>
      </c>
      <c r="B19" s="117"/>
      <c r="C19" s="117"/>
      <c r="D19" s="117"/>
      <c r="E19" s="117"/>
      <c r="F19" s="117"/>
      <c r="G19" s="122">
        <f>SUM(G20,G21)</f>
        <v>2110</v>
      </c>
      <c r="H19" s="122">
        <f>SUM(H20,H21)</f>
        <v>2112</v>
      </c>
      <c r="I19" s="122">
        <f>SUM(I20,I21)</f>
        <v>2116</v>
      </c>
      <c r="J19" s="122">
        <f>SUM(J20,J21)</f>
        <v>2537</v>
      </c>
      <c r="K19" s="122">
        <f>SUM(K20,K21)</f>
        <v>2591</v>
      </c>
      <c r="L19" s="118">
        <f t="shared" ref="L19:O19" si="3">+H19-G19</f>
        <v>2</v>
      </c>
      <c r="M19" s="118">
        <f t="shared" si="3"/>
        <v>4</v>
      </c>
      <c r="N19" s="118">
        <f t="shared" si="3"/>
        <v>421</v>
      </c>
      <c r="O19" s="118">
        <f t="shared" si="3"/>
        <v>54</v>
      </c>
      <c r="P19" s="147"/>
      <c r="Q19" s="147"/>
      <c r="R19" s="147"/>
      <c r="S19" s="147"/>
      <c r="T19" s="147"/>
      <c r="U19" s="147"/>
      <c r="V19" s="147"/>
      <c r="W19" s="147"/>
      <c r="X19" s="147"/>
      <c r="Y19" s="147"/>
      <c r="Z19" s="147"/>
      <c r="AA19" s="147"/>
      <c r="AB19" s="147"/>
      <c r="AC19" s="147"/>
      <c r="AD19" s="124"/>
      <c r="AE19" s="114">
        <f t="shared" si="0"/>
        <v>2.5453580389886123E-2</v>
      </c>
      <c r="AF19" s="114">
        <f t="shared" si="0"/>
        <v>2.4701465479935906E-2</v>
      </c>
      <c r="AG19" s="114">
        <f t="shared" si="0"/>
        <v>2.3381473828440094E-2</v>
      </c>
      <c r="AH19" s="114">
        <f t="shared" si="0"/>
        <v>2.6843436213774059E-2</v>
      </c>
      <c r="AI19" s="114">
        <f t="shared" si="0"/>
        <v>2.6007006132875626E-2</v>
      </c>
      <c r="AK19" s="115">
        <f t="shared" si="1"/>
        <v>2</v>
      </c>
      <c r="AL19" s="115">
        <f t="shared" si="1"/>
        <v>4</v>
      </c>
      <c r="AM19" s="115">
        <f t="shared" si="1"/>
        <v>421</v>
      </c>
      <c r="AN19" s="115">
        <f t="shared" si="1"/>
        <v>54</v>
      </c>
      <c r="AP19" s="114">
        <f t="shared" si="2"/>
        <v>9.4786729857819908E-4</v>
      </c>
      <c r="AQ19" s="114">
        <f t="shared" si="2"/>
        <v>1.893939393939394E-3</v>
      </c>
      <c r="AR19" s="114">
        <f t="shared" si="2"/>
        <v>0.19896030245746693</v>
      </c>
      <c r="AS19" s="114">
        <f t="shared" si="2"/>
        <v>2.1284982262514782E-2</v>
      </c>
    </row>
    <row r="20" spans="1:45" ht="16.5" customHeight="1" x14ac:dyDescent="0.3">
      <c r="A20" s="116" t="s">
        <v>240</v>
      </c>
      <c r="B20" s="117"/>
      <c r="C20" s="117"/>
      <c r="D20" s="117"/>
      <c r="E20" s="117"/>
      <c r="F20" s="117"/>
      <c r="G20" s="118">
        <v>3869</v>
      </c>
      <c r="H20" s="118">
        <v>4070</v>
      </c>
      <c r="I20" s="118">
        <v>4071</v>
      </c>
      <c r="J20" s="118">
        <v>4510</v>
      </c>
      <c r="K20" s="118">
        <v>4461</v>
      </c>
      <c r="L20" s="118">
        <f>+H20-G20</f>
        <v>201</v>
      </c>
      <c r="M20" s="118">
        <f>+I20-H20</f>
        <v>1</v>
      </c>
      <c r="N20" s="118">
        <f t="shared" ref="N20:O21" si="4">+J20-I20</f>
        <v>439</v>
      </c>
      <c r="O20" s="118">
        <f t="shared" si="4"/>
        <v>-49</v>
      </c>
      <c r="P20" s="118"/>
      <c r="Q20" s="118"/>
      <c r="R20" s="118"/>
      <c r="S20" s="118"/>
      <c r="T20" s="118"/>
      <c r="U20" s="118"/>
      <c r="V20" s="118"/>
      <c r="W20" s="118"/>
      <c r="X20" s="118"/>
      <c r="Y20" s="118"/>
      <c r="Z20" s="118"/>
      <c r="AA20" s="118"/>
      <c r="AB20" s="118"/>
      <c r="AC20" s="118"/>
      <c r="AD20" s="124">
        <f>+H20-G20</f>
        <v>201</v>
      </c>
      <c r="AE20" s="114">
        <f t="shared" si="0"/>
        <v>4.6672939586952324E-2</v>
      </c>
      <c r="AF20" s="114">
        <f t="shared" si="0"/>
        <v>4.7601782435293158E-2</v>
      </c>
      <c r="AG20" s="114">
        <f t="shared" si="0"/>
        <v>4.4983922474281485E-2</v>
      </c>
      <c r="AH20" s="114">
        <f t="shared" si="0"/>
        <v>4.7719313095830114E-2</v>
      </c>
      <c r="AI20" s="114">
        <f t="shared" si="0"/>
        <v>4.4777018278177601E-2</v>
      </c>
      <c r="AK20" s="115">
        <f t="shared" si="1"/>
        <v>201</v>
      </c>
      <c r="AL20" s="115">
        <f t="shared" si="1"/>
        <v>1</v>
      </c>
      <c r="AM20" s="115">
        <f t="shared" si="1"/>
        <v>439</v>
      </c>
      <c r="AN20" s="115">
        <f t="shared" si="1"/>
        <v>-49</v>
      </c>
      <c r="AP20" s="114">
        <f t="shared" si="2"/>
        <v>5.1951408632721637E-2</v>
      </c>
      <c r="AQ20" s="114">
        <f t="shared" si="2"/>
        <v>2.4570024570024569E-4</v>
      </c>
      <c r="AR20" s="114">
        <f t="shared" si="2"/>
        <v>0.10783591255219847</v>
      </c>
      <c r="AS20" s="114">
        <f t="shared" si="2"/>
        <v>-1.0864745011086474E-2</v>
      </c>
    </row>
    <row r="21" spans="1:45" ht="16.5" customHeight="1" x14ac:dyDescent="0.3">
      <c r="A21" s="116" t="s">
        <v>241</v>
      </c>
      <c r="B21" s="117"/>
      <c r="C21" s="117"/>
      <c r="D21" s="117"/>
      <c r="E21" s="117"/>
      <c r="F21" s="117"/>
      <c r="G21" s="118">
        <v>-1759</v>
      </c>
      <c r="H21" s="118">
        <v>-1958</v>
      </c>
      <c r="I21" s="118">
        <v>-1955</v>
      </c>
      <c r="J21" s="118">
        <v>-1973</v>
      </c>
      <c r="K21" s="118">
        <v>-1870</v>
      </c>
      <c r="L21" s="118">
        <f>+H21-G21</f>
        <v>-199</v>
      </c>
      <c r="M21" s="118">
        <f>+I21-H21</f>
        <v>3</v>
      </c>
      <c r="N21" s="118">
        <f t="shared" si="4"/>
        <v>-18</v>
      </c>
      <c r="O21" s="118">
        <f t="shared" si="4"/>
        <v>103</v>
      </c>
      <c r="P21" s="118"/>
      <c r="Q21" s="118"/>
      <c r="R21" s="118"/>
      <c r="S21" s="118"/>
      <c r="T21" s="118"/>
      <c r="U21" s="118"/>
      <c r="V21" s="118"/>
      <c r="W21" s="118"/>
      <c r="X21" s="118"/>
      <c r="Y21" s="118"/>
      <c r="Z21" s="118"/>
      <c r="AA21" s="118"/>
      <c r="AB21" s="118"/>
      <c r="AC21" s="118"/>
      <c r="AD21" s="124"/>
      <c r="AE21" s="114">
        <f t="shared" si="0"/>
        <v>-2.1219359197066204E-2</v>
      </c>
      <c r="AF21" s="114">
        <f t="shared" si="0"/>
        <v>-2.2900316955357249E-2</v>
      </c>
      <c r="AG21" s="114">
        <f t="shared" si="0"/>
        <v>-2.1602448645841391E-2</v>
      </c>
      <c r="AH21" s="114">
        <f t="shared" si="0"/>
        <v>-2.0875876882056058E-2</v>
      </c>
      <c r="AI21" s="114">
        <f t="shared" si="0"/>
        <v>-1.8770012145301978E-2</v>
      </c>
      <c r="AK21" s="115">
        <f t="shared" si="1"/>
        <v>-199</v>
      </c>
      <c r="AL21" s="115">
        <f t="shared" si="1"/>
        <v>3</v>
      </c>
      <c r="AM21" s="115">
        <f t="shared" si="1"/>
        <v>-18</v>
      </c>
      <c r="AN21" s="115">
        <f t="shared" si="1"/>
        <v>103</v>
      </c>
      <c r="AP21" s="114">
        <f t="shared" si="2"/>
        <v>0.11313246162592382</v>
      </c>
      <c r="AQ21" s="114">
        <f t="shared" si="2"/>
        <v>-1.5321756894790602E-3</v>
      </c>
      <c r="AR21" s="114">
        <f t="shared" si="2"/>
        <v>9.2071611253196923E-3</v>
      </c>
      <c r="AS21" s="114">
        <f t="shared" si="2"/>
        <v>-5.2204764318297008E-2</v>
      </c>
    </row>
    <row r="22" spans="1:45" ht="16.5" customHeight="1" x14ac:dyDescent="0.3">
      <c r="A22" s="116" t="s">
        <v>242</v>
      </c>
      <c r="B22" s="117"/>
      <c r="C22" s="117"/>
      <c r="D22" s="117"/>
      <c r="E22" s="117"/>
      <c r="F22" s="117"/>
      <c r="G22" s="118">
        <v>1843</v>
      </c>
      <c r="H22" s="118">
        <v>2136</v>
      </c>
      <c r="I22" s="118">
        <v>1921</v>
      </c>
      <c r="J22" s="118">
        <v>2545</v>
      </c>
      <c r="K22" s="123">
        <v>999</v>
      </c>
      <c r="L22" s="123"/>
      <c r="M22" s="123"/>
      <c r="N22" s="123"/>
      <c r="O22" s="123"/>
      <c r="P22" s="123"/>
      <c r="Q22" s="123"/>
      <c r="R22" s="123"/>
      <c r="S22" s="123"/>
      <c r="T22" s="123"/>
      <c r="U22" s="123"/>
      <c r="V22" s="123"/>
      <c r="W22" s="123"/>
      <c r="X22" s="123"/>
      <c r="Y22" s="123"/>
      <c r="Z22" s="123"/>
      <c r="AA22" s="123"/>
      <c r="AB22" s="123"/>
      <c r="AC22" s="123"/>
      <c r="AE22" s="114">
        <f t="shared" si="0"/>
        <v>2.2232677089364987E-2</v>
      </c>
      <c r="AF22" s="114">
        <f t="shared" si="0"/>
        <v>2.4982163951298816E-2</v>
      </c>
      <c r="AG22" s="114">
        <f t="shared" si="0"/>
        <v>2.122675388678328E-2</v>
      </c>
      <c r="AH22" s="114">
        <f t="shared" si="0"/>
        <v>2.6928082445429633E-2</v>
      </c>
      <c r="AI22" s="114">
        <f t="shared" si="0"/>
        <v>1.002740221024421E-2</v>
      </c>
      <c r="AK22" s="115">
        <f t="shared" si="1"/>
        <v>293</v>
      </c>
      <c r="AL22" s="115">
        <f t="shared" si="1"/>
        <v>-215</v>
      </c>
      <c r="AM22" s="115">
        <f t="shared" si="1"/>
        <v>624</v>
      </c>
      <c r="AN22" s="115">
        <f t="shared" si="1"/>
        <v>-1546</v>
      </c>
      <c r="AP22" s="114">
        <f t="shared" si="2"/>
        <v>0.15897992403689637</v>
      </c>
      <c r="AQ22" s="114">
        <f t="shared" si="2"/>
        <v>-0.10065543071161048</v>
      </c>
      <c r="AR22" s="114">
        <f t="shared" si="2"/>
        <v>0.32483081728266527</v>
      </c>
      <c r="AS22" s="114">
        <f t="shared" si="2"/>
        <v>-0.60746561886051076</v>
      </c>
    </row>
    <row r="23" spans="1:45" ht="16.5" customHeight="1" x14ac:dyDescent="0.3">
      <c r="A23" s="121" t="s">
        <v>243</v>
      </c>
      <c r="B23" s="117"/>
      <c r="C23" s="117"/>
      <c r="D23" s="117"/>
      <c r="E23" s="117"/>
      <c r="F23" s="117"/>
      <c r="G23" s="122">
        <f>SUM(G24,G25)</f>
        <v>44742</v>
      </c>
      <c r="H23" s="122">
        <f>SUM(H24,H25)</f>
        <v>44443</v>
      </c>
      <c r="I23" s="122">
        <f>SUM(I24,I25)</f>
        <v>45898</v>
      </c>
      <c r="J23" s="122">
        <f>SUM(J24,J25)</f>
        <v>47990</v>
      </c>
      <c r="K23" s="122">
        <f>SUM(K24,K25)</f>
        <v>50124</v>
      </c>
      <c r="L23" s="147"/>
      <c r="M23" s="147"/>
      <c r="N23" s="147"/>
      <c r="O23" s="147"/>
      <c r="P23" s="147"/>
      <c r="Q23" s="147"/>
      <c r="R23" s="147"/>
      <c r="S23" s="147"/>
      <c r="T23" s="147"/>
      <c r="U23" s="147"/>
      <c r="V23" s="147"/>
      <c r="W23" s="147"/>
      <c r="X23" s="147"/>
      <c r="Y23" s="147"/>
      <c r="Z23" s="147"/>
      <c r="AA23" s="147"/>
      <c r="AB23" s="147"/>
      <c r="AC23" s="147"/>
      <c r="AE23" s="114">
        <f t="shared" si="0"/>
        <v>0.53973653734800231</v>
      </c>
      <c r="AF23" s="114">
        <f t="shared" si="0"/>
        <v>0.51979509011590508</v>
      </c>
      <c r="AG23" s="114">
        <f t="shared" si="0"/>
        <v>0.50716582503674079</v>
      </c>
      <c r="AH23" s="114">
        <f t="shared" si="0"/>
        <v>0.50777158214387741</v>
      </c>
      <c r="AI23" s="114">
        <f t="shared" si="0"/>
        <v>0.50311662501129217</v>
      </c>
      <c r="AK23" s="115">
        <f t="shared" si="1"/>
        <v>-299</v>
      </c>
      <c r="AL23" s="115">
        <f t="shared" si="1"/>
        <v>1455</v>
      </c>
      <c r="AM23" s="115">
        <f t="shared" si="1"/>
        <v>2092</v>
      </c>
      <c r="AN23" s="115">
        <f t="shared" si="1"/>
        <v>2134</v>
      </c>
      <c r="AP23" s="114">
        <f t="shared" si="2"/>
        <v>-6.6827589289705424E-3</v>
      </c>
      <c r="AQ23" s="114">
        <f t="shared" si="2"/>
        <v>3.2738564003330105E-2</v>
      </c>
      <c r="AR23" s="114">
        <f t="shared" si="2"/>
        <v>4.5579328075297396E-2</v>
      </c>
      <c r="AS23" s="114">
        <f t="shared" si="2"/>
        <v>4.4467597416128359E-2</v>
      </c>
    </row>
    <row r="24" spans="1:45" ht="16.5" customHeight="1" x14ac:dyDescent="0.3">
      <c r="A24" s="116" t="s">
        <v>244</v>
      </c>
      <c r="B24" s="117"/>
      <c r="C24" s="117"/>
      <c r="D24" s="117"/>
      <c r="E24" s="117"/>
      <c r="F24" s="117"/>
      <c r="G24" s="118">
        <v>15958</v>
      </c>
      <c r="H24" s="118">
        <v>17787</v>
      </c>
      <c r="I24" s="118">
        <v>17997</v>
      </c>
      <c r="J24" s="118">
        <v>18941</v>
      </c>
      <c r="K24" s="118">
        <v>19879</v>
      </c>
      <c r="L24" s="118"/>
      <c r="M24" s="118"/>
      <c r="N24" s="118"/>
      <c r="O24" s="118"/>
      <c r="P24" s="118"/>
      <c r="Q24" s="118"/>
      <c r="R24" s="118"/>
      <c r="S24" s="118"/>
      <c r="T24" s="118"/>
      <c r="U24" s="118"/>
      <c r="V24" s="118"/>
      <c r="W24" s="118"/>
      <c r="X24" s="118"/>
      <c r="Y24" s="118"/>
      <c r="Z24" s="118"/>
      <c r="AA24" s="118"/>
      <c r="AB24" s="118"/>
      <c r="AC24" s="118"/>
      <c r="AE24" s="114">
        <f t="shared" si="0"/>
        <v>0.19250627292028566</v>
      </c>
      <c r="AF24" s="114">
        <f t="shared" si="0"/>
        <v>0.20803265458883521</v>
      </c>
      <c r="AG24" s="114">
        <f t="shared" si="0"/>
        <v>0.19886407584614194</v>
      </c>
      <c r="AH24" s="114">
        <f t="shared" si="0"/>
        <v>0.20041053422352953</v>
      </c>
      <c r="AI24" s="114">
        <f t="shared" si="0"/>
        <v>0.19953426280024492</v>
      </c>
      <c r="AK24" s="115">
        <f t="shared" si="1"/>
        <v>1829</v>
      </c>
      <c r="AL24" s="115">
        <f t="shared" si="1"/>
        <v>210</v>
      </c>
      <c r="AM24" s="115">
        <f t="shared" si="1"/>
        <v>944</v>
      </c>
      <c r="AN24" s="115">
        <f t="shared" si="1"/>
        <v>938</v>
      </c>
      <c r="AP24" s="114">
        <f t="shared" si="2"/>
        <v>0.11461336007018423</v>
      </c>
      <c r="AQ24" s="114">
        <f t="shared" si="2"/>
        <v>1.1806375442739079E-2</v>
      </c>
      <c r="AR24" s="114">
        <f t="shared" si="2"/>
        <v>5.2453186642218146E-2</v>
      </c>
      <c r="AS24" s="114">
        <f t="shared" si="2"/>
        <v>4.9522200517396128E-2</v>
      </c>
    </row>
    <row r="25" spans="1:45" ht="16.5" customHeight="1" x14ac:dyDescent="0.3">
      <c r="A25" s="116" t="s">
        <v>245</v>
      </c>
      <c r="B25" s="117"/>
      <c r="C25" s="117"/>
      <c r="D25" s="117"/>
      <c r="E25" s="117"/>
      <c r="F25" s="117"/>
      <c r="G25" s="118">
        <v>28784</v>
      </c>
      <c r="H25" s="118">
        <v>26656</v>
      </c>
      <c r="I25" s="118">
        <v>27901</v>
      </c>
      <c r="J25" s="118">
        <v>29049</v>
      </c>
      <c r="K25" s="118">
        <v>30245</v>
      </c>
      <c r="L25" s="118"/>
      <c r="M25" s="118"/>
      <c r="N25" s="118"/>
      <c r="O25" s="118"/>
      <c r="P25" s="118"/>
      <c r="Q25" s="118"/>
      <c r="R25" s="118"/>
      <c r="S25" s="118"/>
      <c r="T25" s="118"/>
      <c r="U25" s="118"/>
      <c r="V25" s="118"/>
      <c r="W25" s="118"/>
      <c r="X25" s="118"/>
      <c r="Y25" s="118"/>
      <c r="Z25" s="118"/>
      <c r="AA25" s="118"/>
      <c r="AB25" s="118"/>
      <c r="AC25" s="118"/>
      <c r="AE25" s="114">
        <f t="shared" si="0"/>
        <v>0.34723026442771665</v>
      </c>
      <c r="AF25" s="114">
        <f t="shared" si="0"/>
        <v>0.31176243552706984</v>
      </c>
      <c r="AG25" s="114">
        <f t="shared" si="0"/>
        <v>0.30830174919059877</v>
      </c>
      <c r="AH25" s="114">
        <f t="shared" si="0"/>
        <v>0.30736104792034791</v>
      </c>
      <c r="AI25" s="114">
        <f t="shared" si="0"/>
        <v>0.30358236221104723</v>
      </c>
      <c r="AK25" s="115">
        <f t="shared" si="1"/>
        <v>-2128</v>
      </c>
      <c r="AL25" s="115">
        <f t="shared" si="1"/>
        <v>1245</v>
      </c>
      <c r="AM25" s="115">
        <f t="shared" si="1"/>
        <v>1148</v>
      </c>
      <c r="AN25" s="115">
        <f t="shared" si="1"/>
        <v>1196</v>
      </c>
      <c r="AP25" s="114">
        <f t="shared" si="2"/>
        <v>-7.3929961089494164E-2</v>
      </c>
      <c r="AQ25" s="114">
        <f t="shared" si="2"/>
        <v>4.6706182472989195E-2</v>
      </c>
      <c r="AR25" s="114">
        <f t="shared" si="2"/>
        <v>4.1145478656678974E-2</v>
      </c>
      <c r="AS25" s="114">
        <f t="shared" si="2"/>
        <v>4.1171813143309581E-2</v>
      </c>
    </row>
    <row r="26" spans="1:45" ht="16.5" customHeight="1" x14ac:dyDescent="0.3">
      <c r="A26" s="116" t="s">
        <v>246</v>
      </c>
      <c r="B26" s="117"/>
      <c r="C26" s="117"/>
      <c r="D26" s="117"/>
      <c r="E26" s="117"/>
      <c r="F26" s="117"/>
      <c r="G26" s="123" t="s">
        <v>230</v>
      </c>
      <c r="H26" s="123" t="s">
        <v>230</v>
      </c>
      <c r="I26" s="123" t="s">
        <v>230</v>
      </c>
      <c r="J26" s="123" t="s">
        <v>230</v>
      </c>
      <c r="K26" s="123" t="s">
        <v>230</v>
      </c>
      <c r="L26" s="123"/>
      <c r="M26" s="123"/>
      <c r="N26" s="123"/>
      <c r="O26" s="123"/>
      <c r="P26" s="123"/>
      <c r="Q26" s="123"/>
      <c r="R26" s="123"/>
      <c r="S26" s="123"/>
      <c r="T26" s="123"/>
      <c r="U26" s="123"/>
      <c r="V26" s="123"/>
      <c r="W26" s="123"/>
      <c r="X26" s="123"/>
      <c r="Y26" s="123"/>
      <c r="Z26" s="123"/>
      <c r="AA26" s="123"/>
      <c r="AB26" s="123"/>
      <c r="AC26" s="123"/>
      <c r="AE26" s="114">
        <f t="shared" si="0"/>
        <v>0</v>
      </c>
      <c r="AF26" s="114">
        <f t="shared" si="0"/>
        <v>0</v>
      </c>
      <c r="AG26" s="114">
        <f t="shared" si="0"/>
        <v>0</v>
      </c>
      <c r="AH26" s="114">
        <f t="shared" si="0"/>
        <v>0</v>
      </c>
      <c r="AI26" s="114">
        <f t="shared" si="0"/>
        <v>0</v>
      </c>
      <c r="AK26" s="115">
        <f t="shared" si="1"/>
        <v>0</v>
      </c>
      <c r="AL26" s="115">
        <f t="shared" si="1"/>
        <v>0</v>
      </c>
      <c r="AM26" s="115">
        <f t="shared" si="1"/>
        <v>0</v>
      </c>
      <c r="AN26" s="115">
        <f t="shared" si="1"/>
        <v>0</v>
      </c>
      <c r="AP26" s="114">
        <f t="shared" si="2"/>
        <v>0</v>
      </c>
      <c r="AQ26" s="114">
        <f t="shared" si="2"/>
        <v>0</v>
      </c>
      <c r="AR26" s="114">
        <f t="shared" si="2"/>
        <v>0</v>
      </c>
      <c r="AS26" s="114">
        <f t="shared" si="2"/>
        <v>0</v>
      </c>
    </row>
    <row r="27" spans="1:45" ht="16.5" customHeight="1" x14ac:dyDescent="0.3">
      <c r="A27" s="121" t="s">
        <v>247</v>
      </c>
      <c r="B27" s="117"/>
      <c r="C27" s="117"/>
      <c r="D27" s="117"/>
      <c r="E27" s="117"/>
      <c r="F27" s="117"/>
      <c r="G27" s="122">
        <f>SUM(G28:G32)</f>
        <v>6594</v>
      </c>
      <c r="H27" s="122">
        <f>SUM(H28:H32)</f>
        <v>6605</v>
      </c>
      <c r="I27" s="122">
        <f>SUM(I28:I32)</f>
        <v>7032</v>
      </c>
      <c r="J27" s="122">
        <f>SUM(J28:J32)</f>
        <v>7406</v>
      </c>
      <c r="K27" s="122">
        <f>SUM(K28:K32)</f>
        <v>8147</v>
      </c>
      <c r="L27" s="147"/>
      <c r="M27" s="147"/>
      <c r="N27" s="147"/>
      <c r="O27" s="147"/>
      <c r="P27" s="147"/>
      <c r="Q27" s="147"/>
      <c r="R27" s="147"/>
      <c r="S27" s="147"/>
      <c r="T27" s="147"/>
      <c r="U27" s="147"/>
      <c r="V27" s="147"/>
      <c r="W27" s="147"/>
      <c r="X27" s="147"/>
      <c r="Y27" s="147"/>
      <c r="Z27" s="147"/>
      <c r="AA27" s="147"/>
      <c r="AB27" s="147"/>
      <c r="AC27" s="147"/>
      <c r="AE27" s="114">
        <f t="shared" si="0"/>
        <v>7.9545454545454544E-2</v>
      </c>
      <c r="AF27" s="114">
        <f t="shared" si="0"/>
        <v>7.7250558473000316E-2</v>
      </c>
      <c r="AG27" s="114">
        <f t="shared" si="0"/>
        <v>7.770251604990111E-2</v>
      </c>
      <c r="AH27" s="114">
        <f t="shared" si="0"/>
        <v>7.836124895514808E-2</v>
      </c>
      <c r="AI27" s="114">
        <f t="shared" si="0"/>
        <v>8.177502082768727E-2</v>
      </c>
      <c r="AK27" s="115">
        <f t="shared" si="1"/>
        <v>11</v>
      </c>
      <c r="AL27" s="115">
        <f t="shared" si="1"/>
        <v>427</v>
      </c>
      <c r="AM27" s="115">
        <f t="shared" si="1"/>
        <v>374</v>
      </c>
      <c r="AN27" s="115">
        <f t="shared" si="1"/>
        <v>741</v>
      </c>
      <c r="AP27" s="114">
        <f t="shared" si="2"/>
        <v>1.6681831968456172E-3</v>
      </c>
      <c r="AQ27" s="114">
        <f t="shared" si="2"/>
        <v>6.4647993943981838E-2</v>
      </c>
      <c r="AR27" s="114">
        <f t="shared" si="2"/>
        <v>5.318543799772469E-2</v>
      </c>
      <c r="AS27" s="114">
        <f t="shared" si="2"/>
        <v>0.10005401026194977</v>
      </c>
    </row>
    <row r="28" spans="1:45" ht="16.5" customHeight="1" x14ac:dyDescent="0.3">
      <c r="A28" s="116" t="s">
        <v>248</v>
      </c>
      <c r="B28" s="117"/>
      <c r="C28" s="117"/>
      <c r="D28" s="117"/>
      <c r="E28" s="117"/>
      <c r="F28" s="117"/>
      <c r="G28" s="123" t="s">
        <v>230</v>
      </c>
      <c r="H28" s="123" t="s">
        <v>230</v>
      </c>
      <c r="I28" s="123" t="s">
        <v>230</v>
      </c>
      <c r="J28" s="123" t="s">
        <v>230</v>
      </c>
      <c r="K28" s="123" t="s">
        <v>230</v>
      </c>
      <c r="L28" s="123"/>
      <c r="M28" s="123"/>
      <c r="N28" s="123"/>
      <c r="O28" s="123"/>
      <c r="P28" s="123"/>
      <c r="Q28" s="123"/>
      <c r="R28" s="123"/>
      <c r="S28" s="123"/>
      <c r="T28" s="123"/>
      <c r="U28" s="123"/>
      <c r="V28" s="123"/>
      <c r="W28" s="123"/>
      <c r="X28" s="123"/>
      <c r="Y28" s="123"/>
      <c r="Z28" s="123"/>
      <c r="AA28" s="123"/>
      <c r="AB28" s="123"/>
      <c r="AC28" s="123"/>
      <c r="AE28" s="114">
        <f t="shared" si="0"/>
        <v>0</v>
      </c>
      <c r="AF28" s="114">
        <f t="shared" si="0"/>
        <v>0</v>
      </c>
      <c r="AG28" s="114">
        <f t="shared" si="0"/>
        <v>0</v>
      </c>
      <c r="AH28" s="114">
        <f t="shared" si="0"/>
        <v>0</v>
      </c>
      <c r="AI28" s="114">
        <f t="shared" si="0"/>
        <v>0</v>
      </c>
      <c r="AK28" s="115">
        <f t="shared" si="1"/>
        <v>0</v>
      </c>
      <c r="AL28" s="115">
        <f t="shared" si="1"/>
        <v>0</v>
      </c>
      <c r="AM28" s="115">
        <f t="shared" si="1"/>
        <v>0</v>
      </c>
      <c r="AN28" s="115">
        <f t="shared" si="1"/>
        <v>0</v>
      </c>
      <c r="AP28" s="114">
        <f t="shared" si="2"/>
        <v>0</v>
      </c>
      <c r="AQ28" s="114">
        <f t="shared" si="2"/>
        <v>0</v>
      </c>
      <c r="AR28" s="114">
        <f t="shared" si="2"/>
        <v>0</v>
      </c>
      <c r="AS28" s="114">
        <f t="shared" si="2"/>
        <v>0</v>
      </c>
    </row>
    <row r="29" spans="1:45" ht="16.5" customHeight="1" x14ac:dyDescent="0.3">
      <c r="A29" s="116" t="s">
        <v>249</v>
      </c>
      <c r="B29" s="117"/>
      <c r="C29" s="117"/>
      <c r="D29" s="117"/>
      <c r="E29" s="117"/>
      <c r="F29" s="117"/>
      <c r="G29" s="123" t="s">
        <v>230</v>
      </c>
      <c r="H29" s="123" t="s">
        <v>230</v>
      </c>
      <c r="I29" s="123" t="s">
        <v>230</v>
      </c>
      <c r="J29" s="123" t="s">
        <v>230</v>
      </c>
      <c r="K29" s="123" t="s">
        <v>230</v>
      </c>
      <c r="L29" s="123"/>
      <c r="M29" s="123"/>
      <c r="N29" s="123"/>
      <c r="O29" s="123"/>
      <c r="P29" s="123"/>
      <c r="Q29" s="123"/>
      <c r="R29" s="123"/>
      <c r="S29" s="123"/>
      <c r="T29" s="123"/>
      <c r="U29" s="123"/>
      <c r="V29" s="123"/>
      <c r="W29" s="123"/>
      <c r="X29" s="123"/>
      <c r="Y29" s="123"/>
      <c r="Z29" s="123"/>
      <c r="AA29" s="123"/>
      <c r="AB29" s="123"/>
      <c r="AC29" s="123"/>
      <c r="AE29" s="114">
        <f t="shared" si="0"/>
        <v>0</v>
      </c>
      <c r="AF29" s="114">
        <f t="shared" si="0"/>
        <v>0</v>
      </c>
      <c r="AG29" s="114">
        <f t="shared" si="0"/>
        <v>0</v>
      </c>
      <c r="AH29" s="114">
        <f t="shared" si="0"/>
        <v>0</v>
      </c>
      <c r="AI29" s="114">
        <f t="shared" si="0"/>
        <v>0</v>
      </c>
      <c r="AK29" s="115">
        <f t="shared" si="1"/>
        <v>0</v>
      </c>
      <c r="AL29" s="115">
        <f t="shared" si="1"/>
        <v>0</v>
      </c>
      <c r="AM29" s="115">
        <f t="shared" si="1"/>
        <v>0</v>
      </c>
      <c r="AN29" s="115">
        <f t="shared" si="1"/>
        <v>0</v>
      </c>
      <c r="AP29" s="114">
        <f t="shared" si="2"/>
        <v>0</v>
      </c>
      <c r="AQ29" s="114">
        <f t="shared" si="2"/>
        <v>0</v>
      </c>
      <c r="AR29" s="114">
        <f t="shared" si="2"/>
        <v>0</v>
      </c>
      <c r="AS29" s="114">
        <f t="shared" si="2"/>
        <v>0</v>
      </c>
    </row>
    <row r="30" spans="1:45" ht="16.5" customHeight="1" x14ac:dyDescent="0.3">
      <c r="A30" s="116" t="s">
        <v>250</v>
      </c>
      <c r="B30" s="117"/>
      <c r="C30" s="117"/>
      <c r="D30" s="117"/>
      <c r="E30" s="117"/>
      <c r="F30" s="117"/>
      <c r="G30" s="123">
        <v>80</v>
      </c>
      <c r="H30" s="123">
        <v>87</v>
      </c>
      <c r="I30" s="123">
        <v>126</v>
      </c>
      <c r="J30" s="123">
        <v>140</v>
      </c>
      <c r="K30" s="123">
        <v>128</v>
      </c>
      <c r="L30" s="123"/>
      <c r="M30" s="123"/>
      <c r="N30" s="123"/>
      <c r="O30" s="123"/>
      <c r="P30" s="123"/>
      <c r="Q30" s="123"/>
      <c r="R30" s="123"/>
      <c r="S30" s="123"/>
      <c r="T30" s="123"/>
      <c r="U30" s="123"/>
      <c r="V30" s="123"/>
      <c r="W30" s="123"/>
      <c r="X30" s="123"/>
      <c r="Y30" s="123"/>
      <c r="Z30" s="123"/>
      <c r="AA30" s="123"/>
      <c r="AB30" s="123"/>
      <c r="AC30" s="123"/>
      <c r="AE30" s="114">
        <f t="shared" si="0"/>
        <v>9.650646593321753E-4</v>
      </c>
      <c r="AF30" s="114">
        <f t="shared" si="0"/>
        <v>1.0175319586905416E-3</v>
      </c>
      <c r="AG30" s="114">
        <f t="shared" si="0"/>
        <v>1.3922805776859413E-3</v>
      </c>
      <c r="AH30" s="114">
        <f t="shared" si="0"/>
        <v>1.4813090539725535E-3</v>
      </c>
      <c r="AI30" s="114">
        <f t="shared" si="0"/>
        <v>1.2847922751864453E-3</v>
      </c>
      <c r="AK30" s="115">
        <f t="shared" si="1"/>
        <v>7</v>
      </c>
      <c r="AL30" s="115">
        <f t="shared" si="1"/>
        <v>39</v>
      </c>
      <c r="AM30" s="115">
        <f t="shared" si="1"/>
        <v>14</v>
      </c>
      <c r="AN30" s="115">
        <f t="shared" si="1"/>
        <v>-12</v>
      </c>
      <c r="AP30" s="114">
        <f t="shared" si="2"/>
        <v>8.7499999999999994E-2</v>
      </c>
      <c r="AQ30" s="114">
        <f t="shared" si="2"/>
        <v>0.44827586206896552</v>
      </c>
      <c r="AR30" s="114">
        <f t="shared" si="2"/>
        <v>0.1111111111111111</v>
      </c>
      <c r="AS30" s="114">
        <f t="shared" si="2"/>
        <v>-8.5714285714285715E-2</v>
      </c>
    </row>
    <row r="31" spans="1:45" ht="16.5" customHeight="1" x14ac:dyDescent="0.3">
      <c r="A31" s="116" t="s">
        <v>251</v>
      </c>
      <c r="B31" s="117"/>
      <c r="C31" s="117"/>
      <c r="D31" s="117"/>
      <c r="E31" s="117"/>
      <c r="F31" s="117"/>
      <c r="G31" s="123" t="s">
        <v>230</v>
      </c>
      <c r="H31" s="123" t="s">
        <v>230</v>
      </c>
      <c r="I31" s="123" t="s">
        <v>230</v>
      </c>
      <c r="J31" s="123" t="s">
        <v>230</v>
      </c>
      <c r="K31" s="123" t="s">
        <v>230</v>
      </c>
      <c r="L31" s="123"/>
      <c r="M31" s="123"/>
      <c r="N31" s="123"/>
      <c r="O31" s="123"/>
      <c r="P31" s="123"/>
      <c r="Q31" s="123"/>
      <c r="R31" s="123"/>
      <c r="S31" s="123"/>
      <c r="T31" s="123"/>
      <c r="U31" s="123"/>
      <c r="V31" s="123"/>
      <c r="W31" s="123"/>
      <c r="X31" s="123"/>
      <c r="Y31" s="123"/>
      <c r="Z31" s="123"/>
      <c r="AA31" s="123"/>
      <c r="AB31" s="123"/>
      <c r="AC31" s="123"/>
      <c r="AE31" s="114">
        <f t="shared" si="0"/>
        <v>0</v>
      </c>
      <c r="AF31" s="114">
        <f t="shared" si="0"/>
        <v>0</v>
      </c>
      <c r="AG31" s="114">
        <f t="shared" si="0"/>
        <v>0</v>
      </c>
      <c r="AH31" s="114">
        <f t="shared" si="0"/>
        <v>0</v>
      </c>
      <c r="AI31" s="114">
        <f t="shared" si="0"/>
        <v>0</v>
      </c>
      <c r="AK31" s="115">
        <f t="shared" si="1"/>
        <v>0</v>
      </c>
      <c r="AL31" s="115">
        <f t="shared" si="1"/>
        <v>0</v>
      </c>
      <c r="AM31" s="115">
        <f t="shared" si="1"/>
        <v>0</v>
      </c>
      <c r="AN31" s="115">
        <f t="shared" si="1"/>
        <v>0</v>
      </c>
      <c r="AP31" s="114">
        <f t="shared" si="2"/>
        <v>0</v>
      </c>
      <c r="AQ31" s="114">
        <f t="shared" si="2"/>
        <v>0</v>
      </c>
      <c r="AR31" s="114">
        <f t="shared" si="2"/>
        <v>0</v>
      </c>
      <c r="AS31" s="114">
        <f t="shared" si="2"/>
        <v>0</v>
      </c>
    </row>
    <row r="32" spans="1:45" ht="16.5" customHeight="1" x14ac:dyDescent="0.3">
      <c r="A32" s="121" t="s">
        <v>252</v>
      </c>
      <c r="B32" s="117"/>
      <c r="C32" s="117"/>
      <c r="D32" s="117"/>
      <c r="E32" s="117"/>
      <c r="F32" s="117"/>
      <c r="G32" s="122">
        <v>6514</v>
      </c>
      <c r="H32" s="122">
        <v>6518</v>
      </c>
      <c r="I32" s="122">
        <v>6906</v>
      </c>
      <c r="J32" s="122">
        <v>7266</v>
      </c>
      <c r="K32" s="122">
        <v>8019</v>
      </c>
      <c r="L32" s="147"/>
      <c r="M32" s="147"/>
      <c r="N32" s="147"/>
      <c r="O32" s="147"/>
      <c r="P32" s="147"/>
      <c r="Q32" s="147"/>
      <c r="R32" s="147"/>
      <c r="S32" s="147"/>
      <c r="T32" s="147"/>
      <c r="U32" s="147"/>
      <c r="V32" s="147"/>
      <c r="W32" s="147"/>
      <c r="X32" s="147"/>
      <c r="Y32" s="147"/>
      <c r="Z32" s="147"/>
      <c r="AA32" s="147"/>
      <c r="AB32" s="147"/>
      <c r="AC32" s="147"/>
      <c r="AE32" s="114">
        <f t="shared" si="0"/>
        <v>7.858038988612237E-2</v>
      </c>
      <c r="AF32" s="114">
        <f t="shared" si="0"/>
        <v>7.6233026514309771E-2</v>
      </c>
      <c r="AG32" s="114">
        <f t="shared" si="0"/>
        <v>7.631023547221516E-2</v>
      </c>
      <c r="AH32" s="114">
        <f t="shared" si="0"/>
        <v>7.6879939901175531E-2</v>
      </c>
      <c r="AI32" s="114">
        <f t="shared" si="0"/>
        <v>8.0490228552500834E-2</v>
      </c>
      <c r="AK32" s="115">
        <f t="shared" si="1"/>
        <v>4</v>
      </c>
      <c r="AL32" s="115">
        <f t="shared" si="1"/>
        <v>388</v>
      </c>
      <c r="AM32" s="115">
        <f t="shared" si="1"/>
        <v>360</v>
      </c>
      <c r="AN32" s="115">
        <f t="shared" si="1"/>
        <v>753</v>
      </c>
      <c r="AP32" s="114">
        <f t="shared" si="2"/>
        <v>6.140620202640467E-4</v>
      </c>
      <c r="AQ32" s="114">
        <f t="shared" si="2"/>
        <v>5.9527462411782757E-2</v>
      </c>
      <c r="AR32" s="114">
        <f t="shared" si="2"/>
        <v>5.2128583840139006E-2</v>
      </c>
      <c r="AS32" s="114">
        <f t="shared" si="2"/>
        <v>0.10363336085879439</v>
      </c>
    </row>
    <row r="33" spans="1:45" ht="17.25" customHeight="1" thickBot="1" x14ac:dyDescent="0.35">
      <c r="A33" s="111" t="s">
        <v>253</v>
      </c>
      <c r="B33" s="112"/>
      <c r="C33" s="112"/>
      <c r="D33" s="112"/>
      <c r="E33" s="112"/>
      <c r="F33" s="112"/>
      <c r="G33" s="113">
        <f>SUM(G34,G35,G36,G37,G40)</f>
        <v>15739</v>
      </c>
      <c r="H33" s="113">
        <f>SUM(H34,H35,H36,H37,H40)</f>
        <v>20853</v>
      </c>
      <c r="I33" s="113">
        <f>SUM(I34,I35,I36,I37,I40)</f>
        <v>23098</v>
      </c>
      <c r="J33" s="113">
        <f>SUM(J34,J35,J36,J37,J40)</f>
        <v>26517</v>
      </c>
      <c r="K33" s="113">
        <f>SUM(K34,K35,K36,K37,K40)</f>
        <v>35048</v>
      </c>
      <c r="L33" s="143"/>
      <c r="M33" s="143"/>
      <c r="N33" s="143"/>
      <c r="O33" s="143"/>
      <c r="P33" s="143"/>
      <c r="Q33" s="143"/>
      <c r="R33" s="143"/>
      <c r="S33" s="143"/>
      <c r="T33" s="143"/>
      <c r="U33" s="143"/>
      <c r="V33" s="143"/>
      <c r="W33" s="143"/>
      <c r="X33" s="143"/>
      <c r="Y33" s="143"/>
      <c r="Z33" s="143"/>
      <c r="AA33" s="143"/>
      <c r="AB33" s="143"/>
      <c r="AC33" s="143"/>
      <c r="AE33" s="114">
        <f t="shared" si="0"/>
        <v>0.18986440841536384</v>
      </c>
      <c r="AF33" s="114">
        <f t="shared" si="0"/>
        <v>0.24389188430544673</v>
      </c>
      <c r="AG33" s="114">
        <f t="shared" si="0"/>
        <v>0.25522933955071325</v>
      </c>
      <c r="AH33" s="114">
        <f t="shared" si="0"/>
        <v>0.28057051560135859</v>
      </c>
      <c r="AI33" s="114">
        <f t="shared" si="0"/>
        <v>0.3517921848494886</v>
      </c>
      <c r="AK33" s="115">
        <f t="shared" si="1"/>
        <v>5114</v>
      </c>
      <c r="AL33" s="115">
        <f t="shared" si="1"/>
        <v>2245</v>
      </c>
      <c r="AM33" s="115">
        <f t="shared" si="1"/>
        <v>3419</v>
      </c>
      <c r="AN33" s="115">
        <f t="shared" si="1"/>
        <v>8531</v>
      </c>
      <c r="AP33" s="114">
        <f t="shared" si="2"/>
        <v>0.32492534468517698</v>
      </c>
      <c r="AQ33" s="114">
        <f t="shared" si="2"/>
        <v>0.10765837049824965</v>
      </c>
      <c r="AR33" s="114">
        <f t="shared" si="2"/>
        <v>0.14802147372066846</v>
      </c>
      <c r="AS33" s="114">
        <f t="shared" si="2"/>
        <v>0.32171814307802543</v>
      </c>
    </row>
    <row r="34" spans="1:45" ht="16.5" customHeight="1" x14ac:dyDescent="0.3">
      <c r="A34" s="116" t="s">
        <v>254</v>
      </c>
      <c r="B34" s="117"/>
      <c r="C34" s="117"/>
      <c r="D34" s="117"/>
      <c r="E34" s="117"/>
      <c r="F34" s="117"/>
      <c r="G34" s="123">
        <v>266</v>
      </c>
      <c r="H34" s="123">
        <v>340</v>
      </c>
      <c r="I34" s="123">
        <v>375</v>
      </c>
      <c r="J34" s="123">
        <v>479</v>
      </c>
      <c r="K34" s="123">
        <v>555</v>
      </c>
      <c r="L34" s="123"/>
      <c r="M34" s="123"/>
      <c r="N34" s="123"/>
      <c r="O34" s="123"/>
      <c r="P34" s="123"/>
      <c r="Q34" s="123"/>
      <c r="R34" s="123"/>
      <c r="S34" s="123"/>
      <c r="T34" s="123"/>
      <c r="U34" s="123"/>
      <c r="V34" s="123"/>
      <c r="W34" s="123"/>
      <c r="X34" s="123"/>
      <c r="Y34" s="123"/>
      <c r="Z34" s="123"/>
      <c r="AA34" s="123"/>
      <c r="AB34" s="123"/>
      <c r="AC34" s="123"/>
      <c r="AE34" s="114">
        <f t="shared" si="0"/>
        <v>3.2088399922794828E-3</v>
      </c>
      <c r="AF34" s="114">
        <f t="shared" si="0"/>
        <v>3.9765616776411975E-3</v>
      </c>
      <c r="AG34" s="114">
        <f t="shared" si="0"/>
        <v>4.1436921954938729E-3</v>
      </c>
      <c r="AH34" s="114">
        <f t="shared" si="0"/>
        <v>5.0681931203775225E-3</v>
      </c>
      <c r="AI34" s="114">
        <f t="shared" si="0"/>
        <v>5.5707790056912284E-3</v>
      </c>
      <c r="AK34" s="115">
        <f t="shared" si="1"/>
        <v>74</v>
      </c>
      <c r="AL34" s="115">
        <f t="shared" si="1"/>
        <v>35</v>
      </c>
      <c r="AM34" s="115">
        <f t="shared" si="1"/>
        <v>104</v>
      </c>
      <c r="AN34" s="115">
        <f t="shared" si="1"/>
        <v>76</v>
      </c>
      <c r="AP34" s="114">
        <f t="shared" si="2"/>
        <v>0.2781954887218045</v>
      </c>
      <c r="AQ34" s="114">
        <f t="shared" si="2"/>
        <v>0.10294117647058823</v>
      </c>
      <c r="AR34" s="114">
        <f t="shared" si="2"/>
        <v>0.27733333333333332</v>
      </c>
      <c r="AS34" s="114">
        <f t="shared" si="2"/>
        <v>0.15866388308977036</v>
      </c>
    </row>
    <row r="35" spans="1:45" ht="16.5" customHeight="1" x14ac:dyDescent="0.3">
      <c r="A35" s="116" t="s">
        <v>255</v>
      </c>
      <c r="B35" s="117"/>
      <c r="C35" s="117"/>
      <c r="D35" s="117"/>
      <c r="E35" s="117"/>
      <c r="F35" s="117"/>
      <c r="G35" s="118">
        <v>3098</v>
      </c>
      <c r="H35" s="118">
        <v>4526</v>
      </c>
      <c r="I35" s="118">
        <v>4833</v>
      </c>
      <c r="J35" s="118">
        <v>5629</v>
      </c>
      <c r="K35" s="118">
        <v>6411</v>
      </c>
      <c r="L35" s="118"/>
      <c r="M35" s="118"/>
      <c r="N35" s="118"/>
      <c r="O35" s="118"/>
      <c r="P35" s="118"/>
      <c r="Q35" s="118"/>
      <c r="R35" s="118"/>
      <c r="S35" s="118"/>
      <c r="T35" s="118"/>
      <c r="U35" s="118"/>
      <c r="V35" s="118"/>
      <c r="W35" s="118"/>
      <c r="X35" s="118"/>
      <c r="Y35" s="118"/>
      <c r="Z35" s="118"/>
      <c r="AA35" s="118"/>
      <c r="AB35" s="118"/>
      <c r="AC35" s="118"/>
      <c r="AE35" s="114">
        <f t="shared" ref="AE35:AI66" si="5">IFERROR(G35/G$17,0)</f>
        <v>3.7372128932638485E-2</v>
      </c>
      <c r="AF35" s="114">
        <f t="shared" si="5"/>
        <v>5.2935053391188404E-2</v>
      </c>
      <c r="AG35" s="114">
        <f t="shared" si="5"/>
        <v>5.3403905015525034E-2</v>
      </c>
      <c r="AH35" s="114">
        <f t="shared" si="5"/>
        <v>5.9559204748653595E-2</v>
      </c>
      <c r="AI35" s="114">
        <f t="shared" si="5"/>
        <v>6.4350025595471108E-2</v>
      </c>
      <c r="AK35" s="115">
        <f t="shared" ref="AK35:AN66" si="6">IFERROR(H35-G35,0)</f>
        <v>1428</v>
      </c>
      <c r="AL35" s="115">
        <f t="shared" si="6"/>
        <v>307</v>
      </c>
      <c r="AM35" s="115">
        <f t="shared" si="6"/>
        <v>796</v>
      </c>
      <c r="AN35" s="115">
        <f t="shared" si="6"/>
        <v>782</v>
      </c>
      <c r="AP35" s="114">
        <f t="shared" ref="AP35:AS66" si="7">IFERROR((H35-G35)/G35,0)</f>
        <v>0.460942543576501</v>
      </c>
      <c r="AQ35" s="114">
        <f t="shared" si="7"/>
        <v>6.7830313742819268E-2</v>
      </c>
      <c r="AR35" s="114">
        <f t="shared" si="7"/>
        <v>0.16470101386302505</v>
      </c>
      <c r="AS35" s="114">
        <f t="shared" si="7"/>
        <v>0.13892343222597264</v>
      </c>
    </row>
    <row r="36" spans="1:45" ht="16.5" customHeight="1" x14ac:dyDescent="0.3">
      <c r="A36" s="116" t="s">
        <v>256</v>
      </c>
      <c r="B36" s="117"/>
      <c r="C36" s="117"/>
      <c r="D36" s="117"/>
      <c r="E36" s="117"/>
      <c r="F36" s="117"/>
      <c r="G36" s="123" t="s">
        <v>230</v>
      </c>
      <c r="H36" s="123" t="s">
        <v>230</v>
      </c>
      <c r="I36" s="123" t="s">
        <v>230</v>
      </c>
      <c r="J36" s="123" t="s">
        <v>230</v>
      </c>
      <c r="K36" s="123" t="s">
        <v>230</v>
      </c>
      <c r="L36" s="123"/>
      <c r="M36" s="123"/>
      <c r="N36" s="123"/>
      <c r="O36" s="123"/>
      <c r="P36" s="123"/>
      <c r="Q36" s="123"/>
      <c r="R36" s="123"/>
      <c r="S36" s="123"/>
      <c r="T36" s="123"/>
      <c r="U36" s="123"/>
      <c r="V36" s="123"/>
      <c r="W36" s="123"/>
      <c r="X36" s="123"/>
      <c r="Y36" s="123"/>
      <c r="Z36" s="123"/>
      <c r="AA36" s="123"/>
      <c r="AB36" s="123"/>
      <c r="AC36" s="123"/>
      <c r="AE36" s="114">
        <f t="shared" si="5"/>
        <v>0</v>
      </c>
      <c r="AF36" s="114">
        <f t="shared" si="5"/>
        <v>0</v>
      </c>
      <c r="AG36" s="114">
        <f t="shared" si="5"/>
        <v>0</v>
      </c>
      <c r="AH36" s="114">
        <f t="shared" si="5"/>
        <v>0</v>
      </c>
      <c r="AI36" s="114">
        <f t="shared" si="5"/>
        <v>0</v>
      </c>
      <c r="AK36" s="115">
        <f t="shared" si="6"/>
        <v>0</v>
      </c>
      <c r="AL36" s="115">
        <f t="shared" si="6"/>
        <v>0</v>
      </c>
      <c r="AM36" s="115">
        <f t="shared" si="6"/>
        <v>0</v>
      </c>
      <c r="AN36" s="115">
        <f t="shared" si="6"/>
        <v>0</v>
      </c>
      <c r="AP36" s="114">
        <f t="shared" si="7"/>
        <v>0</v>
      </c>
      <c r="AQ36" s="114">
        <f t="shared" si="7"/>
        <v>0</v>
      </c>
      <c r="AR36" s="114">
        <f t="shared" si="7"/>
        <v>0</v>
      </c>
      <c r="AS36" s="114">
        <f t="shared" si="7"/>
        <v>0</v>
      </c>
    </row>
    <row r="37" spans="1:45" ht="16.5" customHeight="1" x14ac:dyDescent="0.3">
      <c r="A37" s="121" t="s">
        <v>257</v>
      </c>
      <c r="B37" s="117"/>
      <c r="C37" s="117"/>
      <c r="D37" s="117"/>
      <c r="E37" s="117"/>
      <c r="F37" s="117"/>
      <c r="G37" s="122">
        <f>SUM(G38,G39)</f>
        <v>1102</v>
      </c>
      <c r="H37" s="122">
        <f>SUM(H38,H39)</f>
        <v>2348</v>
      </c>
      <c r="I37" s="125">
        <f>SUM(I38,I39)</f>
        <v>106</v>
      </c>
      <c r="J37" s="125">
        <f>SUM(J38,J39)</f>
        <v>150</v>
      </c>
      <c r="K37" s="122">
        <f>SUM(K38,K39)</f>
        <v>5719</v>
      </c>
      <c r="L37" s="147"/>
      <c r="M37" s="147"/>
      <c r="N37" s="147"/>
      <c r="O37" s="147"/>
      <c r="P37" s="147"/>
      <c r="Q37" s="147"/>
      <c r="R37" s="147"/>
      <c r="S37" s="147"/>
      <c r="T37" s="147"/>
      <c r="U37" s="147"/>
      <c r="V37" s="147"/>
      <c r="W37" s="147"/>
      <c r="X37" s="147"/>
      <c r="Y37" s="147"/>
      <c r="Z37" s="147"/>
      <c r="AA37" s="147"/>
      <c r="AB37" s="147"/>
      <c r="AC37" s="147"/>
      <c r="AE37" s="114">
        <f t="shared" si="5"/>
        <v>1.3293765682300715E-2</v>
      </c>
      <c r="AF37" s="114">
        <f t="shared" si="5"/>
        <v>2.7461667115004505E-2</v>
      </c>
      <c r="AG37" s="114">
        <f t="shared" si="5"/>
        <v>1.1712836605929347E-3</v>
      </c>
      <c r="AH37" s="114">
        <f t="shared" si="5"/>
        <v>1.5871168435420216E-3</v>
      </c>
      <c r="AI37" s="114">
        <f t="shared" si="5"/>
        <v>5.7404117357744387E-2</v>
      </c>
      <c r="AK37" s="115">
        <f t="shared" si="6"/>
        <v>1246</v>
      </c>
      <c r="AL37" s="115">
        <f t="shared" si="6"/>
        <v>-2242</v>
      </c>
      <c r="AM37" s="115">
        <f t="shared" si="6"/>
        <v>44</v>
      </c>
      <c r="AN37" s="115">
        <f t="shared" si="6"/>
        <v>5569</v>
      </c>
      <c r="AP37" s="114">
        <f t="shared" si="7"/>
        <v>1.1306715063520871</v>
      </c>
      <c r="AQ37" s="114">
        <f t="shared" si="7"/>
        <v>-0.95485519591141399</v>
      </c>
      <c r="AR37" s="114">
        <f t="shared" si="7"/>
        <v>0.41509433962264153</v>
      </c>
      <c r="AS37" s="114">
        <f t="shared" si="7"/>
        <v>37.126666666666665</v>
      </c>
    </row>
    <row r="38" spans="1:45" ht="16.5" customHeight="1" x14ac:dyDescent="0.3">
      <c r="A38" s="116" t="s">
        <v>258</v>
      </c>
      <c r="B38" s="117"/>
      <c r="C38" s="117"/>
      <c r="D38" s="117"/>
      <c r="E38" s="117"/>
      <c r="F38" s="117"/>
      <c r="G38" s="123">
        <v>999</v>
      </c>
      <c r="H38" s="118">
        <v>2250</v>
      </c>
      <c r="I38" s="123" t="s">
        <v>230</v>
      </c>
      <c r="J38" s="123" t="s">
        <v>230</v>
      </c>
      <c r="K38" s="118">
        <v>5569</v>
      </c>
      <c r="L38" s="118"/>
      <c r="M38" s="118"/>
      <c r="N38" s="118"/>
      <c r="O38" s="118"/>
      <c r="P38" s="118"/>
      <c r="Q38" s="118"/>
      <c r="R38" s="118"/>
      <c r="S38" s="118"/>
      <c r="T38" s="118"/>
      <c r="U38" s="118"/>
      <c r="V38" s="118"/>
      <c r="W38" s="118"/>
      <c r="X38" s="118"/>
      <c r="Y38" s="118"/>
      <c r="Z38" s="118"/>
      <c r="AA38" s="118"/>
      <c r="AB38" s="118"/>
      <c r="AC38" s="118"/>
      <c r="AE38" s="114">
        <f t="shared" si="5"/>
        <v>1.2051244933410539E-2</v>
      </c>
      <c r="AF38" s="114">
        <f t="shared" si="5"/>
        <v>2.6315481690272629E-2</v>
      </c>
      <c r="AG38" s="114">
        <f t="shared" si="5"/>
        <v>0</v>
      </c>
      <c r="AH38" s="114">
        <f t="shared" si="5"/>
        <v>0</v>
      </c>
      <c r="AI38" s="114">
        <f t="shared" si="5"/>
        <v>5.5898501410260273E-2</v>
      </c>
      <c r="AK38" s="115">
        <f t="shared" si="6"/>
        <v>1251</v>
      </c>
      <c r="AL38" s="115">
        <f t="shared" si="6"/>
        <v>0</v>
      </c>
      <c r="AM38" s="115">
        <f t="shared" si="6"/>
        <v>0</v>
      </c>
      <c r="AN38" s="115">
        <f t="shared" si="6"/>
        <v>0</v>
      </c>
      <c r="AP38" s="114">
        <f t="shared" si="7"/>
        <v>1.2522522522522523</v>
      </c>
      <c r="AQ38" s="114">
        <f t="shared" si="7"/>
        <v>0</v>
      </c>
      <c r="AR38" s="114">
        <f t="shared" si="7"/>
        <v>0</v>
      </c>
      <c r="AS38" s="114">
        <f t="shared" si="7"/>
        <v>0</v>
      </c>
    </row>
    <row r="39" spans="1:45" ht="16.5" customHeight="1" x14ac:dyDescent="0.3">
      <c r="A39" s="116" t="s">
        <v>259</v>
      </c>
      <c r="B39" s="117"/>
      <c r="C39" s="117"/>
      <c r="D39" s="117"/>
      <c r="E39" s="117"/>
      <c r="F39" s="117"/>
      <c r="G39" s="123">
        <v>103</v>
      </c>
      <c r="H39" s="123">
        <v>98</v>
      </c>
      <c r="I39" s="123">
        <v>106</v>
      </c>
      <c r="J39" s="123">
        <v>150</v>
      </c>
      <c r="K39" s="123">
        <v>150</v>
      </c>
      <c r="L39" s="123"/>
      <c r="M39" s="123"/>
      <c r="N39" s="123"/>
      <c r="O39" s="123"/>
      <c r="P39" s="123"/>
      <c r="Q39" s="123"/>
      <c r="R39" s="123"/>
      <c r="S39" s="123"/>
      <c r="T39" s="123"/>
      <c r="U39" s="123"/>
      <c r="V39" s="123"/>
      <c r="W39" s="123"/>
      <c r="X39" s="123"/>
      <c r="Y39" s="123"/>
      <c r="Z39" s="123"/>
      <c r="AA39" s="123"/>
      <c r="AB39" s="123"/>
      <c r="AC39" s="123"/>
      <c r="AE39" s="114">
        <f t="shared" si="5"/>
        <v>1.2425207488901756E-3</v>
      </c>
      <c r="AF39" s="114">
        <f t="shared" si="5"/>
        <v>1.1461854247318745E-3</v>
      </c>
      <c r="AG39" s="114">
        <f t="shared" si="5"/>
        <v>1.1712836605929347E-3</v>
      </c>
      <c r="AH39" s="114">
        <f t="shared" si="5"/>
        <v>1.5871168435420216E-3</v>
      </c>
      <c r="AI39" s="114">
        <f t="shared" si="5"/>
        <v>1.5056159474841158E-3</v>
      </c>
      <c r="AK39" s="115">
        <f t="shared" si="6"/>
        <v>-5</v>
      </c>
      <c r="AL39" s="115">
        <f t="shared" si="6"/>
        <v>8</v>
      </c>
      <c r="AM39" s="115">
        <f t="shared" si="6"/>
        <v>44</v>
      </c>
      <c r="AN39" s="115">
        <f t="shared" si="6"/>
        <v>0</v>
      </c>
      <c r="AP39" s="114">
        <f t="shared" si="7"/>
        <v>-4.8543689320388349E-2</v>
      </c>
      <c r="AQ39" s="114">
        <f t="shared" si="7"/>
        <v>8.1632653061224483E-2</v>
      </c>
      <c r="AR39" s="114">
        <f t="shared" si="7"/>
        <v>0.41509433962264153</v>
      </c>
      <c r="AS39" s="114">
        <f t="shared" si="7"/>
        <v>0</v>
      </c>
    </row>
    <row r="40" spans="1:45" ht="16.5" customHeight="1" x14ac:dyDescent="0.3">
      <c r="A40" s="121" t="s">
        <v>260</v>
      </c>
      <c r="B40" s="117"/>
      <c r="C40" s="117"/>
      <c r="D40" s="117"/>
      <c r="E40" s="117"/>
      <c r="F40" s="117"/>
      <c r="G40" s="122">
        <f>SUM(G41,G42,G43)</f>
        <v>11273</v>
      </c>
      <c r="H40" s="122">
        <f>SUM(H41,H42,H43)</f>
        <v>13639</v>
      </c>
      <c r="I40" s="122">
        <f>SUM(I41,I42,I43)</f>
        <v>17784</v>
      </c>
      <c r="J40" s="122">
        <f>SUM(J41,J42,J43)</f>
        <v>20259</v>
      </c>
      <c r="K40" s="122">
        <f>SUM(K41,K42,K43)</f>
        <v>22363</v>
      </c>
      <c r="L40" s="147"/>
      <c r="M40" s="147"/>
      <c r="N40" s="147"/>
      <c r="O40" s="147"/>
      <c r="P40" s="147"/>
      <c r="Q40" s="147"/>
      <c r="R40" s="147"/>
      <c r="S40" s="147"/>
      <c r="T40" s="147"/>
      <c r="U40" s="147"/>
      <c r="V40" s="147"/>
      <c r="W40" s="147"/>
      <c r="X40" s="147"/>
      <c r="Y40" s="147"/>
      <c r="Z40" s="147"/>
      <c r="AA40" s="147"/>
      <c r="AB40" s="147"/>
      <c r="AC40" s="147"/>
      <c r="AE40" s="114">
        <f t="shared" si="5"/>
        <v>0.13598967380814514</v>
      </c>
      <c r="AF40" s="114">
        <f t="shared" si="5"/>
        <v>0.15951860212161262</v>
      </c>
      <c r="AG40" s="114">
        <f t="shared" si="5"/>
        <v>0.19651045867910141</v>
      </c>
      <c r="AH40" s="114">
        <f t="shared" si="5"/>
        <v>0.21435600088878543</v>
      </c>
      <c r="AI40" s="114">
        <f t="shared" si="5"/>
        <v>0.22446726289058186</v>
      </c>
      <c r="AK40" s="115">
        <f t="shared" si="6"/>
        <v>2366</v>
      </c>
      <c r="AL40" s="115">
        <f t="shared" si="6"/>
        <v>4145</v>
      </c>
      <c r="AM40" s="115">
        <f t="shared" si="6"/>
        <v>2475</v>
      </c>
      <c r="AN40" s="115">
        <f t="shared" si="6"/>
        <v>2104</v>
      </c>
      <c r="AP40" s="114">
        <f t="shared" si="7"/>
        <v>0.20988201898341169</v>
      </c>
      <c r="AQ40" s="114">
        <f t="shared" si="7"/>
        <v>0.30390791113718013</v>
      </c>
      <c r="AR40" s="114">
        <f t="shared" si="7"/>
        <v>0.13917004048582995</v>
      </c>
      <c r="AS40" s="114">
        <f t="shared" si="7"/>
        <v>0.10385507675600968</v>
      </c>
    </row>
    <row r="41" spans="1:45" ht="16.5" customHeight="1" x14ac:dyDescent="0.3">
      <c r="A41" s="116" t="s">
        <v>261</v>
      </c>
      <c r="B41" s="117"/>
      <c r="C41" s="117"/>
      <c r="D41" s="117"/>
      <c r="E41" s="117"/>
      <c r="F41" s="117"/>
      <c r="G41" s="123">
        <v>325</v>
      </c>
      <c r="H41" s="123">
        <v>365</v>
      </c>
      <c r="I41" s="118">
        <v>1500</v>
      </c>
      <c r="J41" s="123">
        <v>577</v>
      </c>
      <c r="K41" s="123">
        <v>512</v>
      </c>
      <c r="L41" s="123"/>
      <c r="M41" s="123"/>
      <c r="N41" s="123"/>
      <c r="O41" s="123"/>
      <c r="P41" s="123"/>
      <c r="Q41" s="123"/>
      <c r="R41" s="123"/>
      <c r="S41" s="123"/>
      <c r="T41" s="123"/>
      <c r="U41" s="123"/>
      <c r="V41" s="123"/>
      <c r="W41" s="123"/>
      <c r="X41" s="123"/>
      <c r="Y41" s="123"/>
      <c r="Z41" s="123"/>
      <c r="AA41" s="123"/>
      <c r="AB41" s="123"/>
      <c r="AC41" s="123"/>
      <c r="AE41" s="114">
        <f t="shared" si="5"/>
        <v>3.9205751785369621E-3</v>
      </c>
      <c r="AF41" s="114">
        <f t="shared" si="5"/>
        <v>4.2689559186442263E-3</v>
      </c>
      <c r="AG41" s="114">
        <f t="shared" si="5"/>
        <v>1.6574768781975491E-2</v>
      </c>
      <c r="AH41" s="114">
        <f t="shared" si="5"/>
        <v>6.10510945815831E-3</v>
      </c>
      <c r="AI41" s="114">
        <f t="shared" si="5"/>
        <v>5.1391691007457814E-3</v>
      </c>
      <c r="AK41" s="115">
        <f t="shared" si="6"/>
        <v>40</v>
      </c>
      <c r="AL41" s="115">
        <f t="shared" si="6"/>
        <v>1135</v>
      </c>
      <c r="AM41" s="115">
        <f t="shared" si="6"/>
        <v>-923</v>
      </c>
      <c r="AN41" s="115">
        <f t="shared" si="6"/>
        <v>-65</v>
      </c>
      <c r="AP41" s="114">
        <f t="shared" si="7"/>
        <v>0.12307692307692308</v>
      </c>
      <c r="AQ41" s="114">
        <f t="shared" si="7"/>
        <v>3.1095890410958904</v>
      </c>
      <c r="AR41" s="114">
        <f t="shared" si="7"/>
        <v>-0.61533333333333329</v>
      </c>
      <c r="AS41" s="114">
        <f t="shared" si="7"/>
        <v>-0.11265164644714037</v>
      </c>
    </row>
    <row r="42" spans="1:45" ht="16.5" customHeight="1" x14ac:dyDescent="0.3">
      <c r="A42" s="116" t="s">
        <v>262</v>
      </c>
      <c r="B42" s="117"/>
      <c r="C42" s="117"/>
      <c r="D42" s="117"/>
      <c r="E42" s="117"/>
      <c r="F42" s="117"/>
      <c r="G42" s="123" t="s">
        <v>230</v>
      </c>
      <c r="H42" s="123" t="s">
        <v>230</v>
      </c>
      <c r="I42" s="123" t="s">
        <v>230</v>
      </c>
      <c r="J42" s="123" t="s">
        <v>230</v>
      </c>
      <c r="K42" s="123" t="s">
        <v>230</v>
      </c>
      <c r="L42" s="123"/>
      <c r="M42" s="123"/>
      <c r="N42" s="123"/>
      <c r="O42" s="123"/>
      <c r="P42" s="123"/>
      <c r="Q42" s="123"/>
      <c r="R42" s="123"/>
      <c r="S42" s="123"/>
      <c r="T42" s="123"/>
      <c r="U42" s="123"/>
      <c r="V42" s="123"/>
      <c r="W42" s="123"/>
      <c r="X42" s="123"/>
      <c r="Y42" s="123"/>
      <c r="Z42" s="123"/>
      <c r="AA42" s="123"/>
      <c r="AB42" s="123"/>
      <c r="AC42" s="123"/>
      <c r="AE42" s="114">
        <f t="shared" si="5"/>
        <v>0</v>
      </c>
      <c r="AF42" s="114">
        <f t="shared" si="5"/>
        <v>0</v>
      </c>
      <c r="AG42" s="114">
        <f t="shared" si="5"/>
        <v>0</v>
      </c>
      <c r="AH42" s="114">
        <f t="shared" si="5"/>
        <v>0</v>
      </c>
      <c r="AI42" s="114">
        <f t="shared" si="5"/>
        <v>0</v>
      </c>
      <c r="AK42" s="115">
        <f t="shared" si="6"/>
        <v>0</v>
      </c>
      <c r="AL42" s="115">
        <f t="shared" si="6"/>
        <v>0</v>
      </c>
      <c r="AM42" s="115">
        <f t="shared" si="6"/>
        <v>0</v>
      </c>
      <c r="AN42" s="115">
        <f t="shared" si="6"/>
        <v>0</v>
      </c>
      <c r="AP42" s="114">
        <f t="shared" si="7"/>
        <v>0</v>
      </c>
      <c r="AQ42" s="114">
        <f t="shared" si="7"/>
        <v>0</v>
      </c>
      <c r="AR42" s="114">
        <f t="shared" si="7"/>
        <v>0</v>
      </c>
      <c r="AS42" s="114">
        <f t="shared" si="7"/>
        <v>0</v>
      </c>
    </row>
    <row r="43" spans="1:45" ht="16.5" customHeight="1" x14ac:dyDescent="0.3">
      <c r="A43" s="116" t="s">
        <v>263</v>
      </c>
      <c r="B43" s="117"/>
      <c r="C43" s="117"/>
      <c r="D43" s="117"/>
      <c r="E43" s="117"/>
      <c r="F43" s="117"/>
      <c r="G43" s="118">
        <v>10948</v>
      </c>
      <c r="H43" s="118">
        <v>13274</v>
      </c>
      <c r="I43" s="118">
        <v>16284</v>
      </c>
      <c r="J43" s="118">
        <v>19682</v>
      </c>
      <c r="K43" s="118">
        <v>21851</v>
      </c>
      <c r="L43" s="118"/>
      <c r="M43" s="118"/>
      <c r="N43" s="118"/>
      <c r="O43" s="118"/>
      <c r="P43" s="118"/>
      <c r="Q43" s="118"/>
      <c r="R43" s="118"/>
      <c r="S43" s="118"/>
      <c r="T43" s="118"/>
      <c r="U43" s="118"/>
      <c r="V43" s="118"/>
      <c r="W43" s="118"/>
      <c r="X43" s="118"/>
      <c r="Y43" s="118"/>
      <c r="Z43" s="118"/>
      <c r="AA43" s="118"/>
      <c r="AB43" s="118"/>
      <c r="AC43" s="118"/>
      <c r="AE43" s="114">
        <f t="shared" si="5"/>
        <v>0.13206909862960819</v>
      </c>
      <c r="AF43" s="114">
        <f t="shared" si="5"/>
        <v>0.15524964620296838</v>
      </c>
      <c r="AG43" s="114">
        <f t="shared" si="5"/>
        <v>0.17993568989712594</v>
      </c>
      <c r="AH43" s="114">
        <f t="shared" si="5"/>
        <v>0.20825089143062711</v>
      </c>
      <c r="AI43" s="114">
        <f t="shared" si="5"/>
        <v>0.21932809378983609</v>
      </c>
      <c r="AK43" s="115">
        <f t="shared" si="6"/>
        <v>2326</v>
      </c>
      <c r="AL43" s="115">
        <f t="shared" si="6"/>
        <v>3010</v>
      </c>
      <c r="AM43" s="115">
        <f t="shared" si="6"/>
        <v>3398</v>
      </c>
      <c r="AN43" s="115">
        <f t="shared" si="6"/>
        <v>2169</v>
      </c>
      <c r="AP43" s="114">
        <f t="shared" si="7"/>
        <v>0.21245889660211911</v>
      </c>
      <c r="AQ43" s="114">
        <f t="shared" si="7"/>
        <v>0.22675907789664004</v>
      </c>
      <c r="AR43" s="114">
        <f t="shared" si="7"/>
        <v>0.20867108818472119</v>
      </c>
      <c r="AS43" s="114">
        <f t="shared" si="7"/>
        <v>0.11020221522203028</v>
      </c>
    </row>
    <row r="44" spans="1:45" ht="17.25" customHeight="1" thickBot="1" x14ac:dyDescent="0.35">
      <c r="A44" s="111" t="s">
        <v>264</v>
      </c>
      <c r="B44" s="112"/>
      <c r="C44" s="112"/>
      <c r="D44" s="112"/>
      <c r="E44" s="112"/>
      <c r="F44" s="112"/>
      <c r="G44" s="113">
        <f>SUM(G33,G46,G47,G48)</f>
        <v>45307</v>
      </c>
      <c r="H44" s="113">
        <f>SUM(H33,H46,H47,H48)</f>
        <v>49920</v>
      </c>
      <c r="I44" s="113">
        <f>SUM(I33,I46,I47,I48)</f>
        <v>51766</v>
      </c>
      <c r="J44" s="113">
        <f>SUM(J33,J46,J47,J48)</f>
        <v>55374</v>
      </c>
      <c r="K44" s="113">
        <f>SUM(K33,K46,K47,K48)</f>
        <v>61718</v>
      </c>
      <c r="L44" s="143"/>
      <c r="M44" s="143"/>
      <c r="N44" s="143"/>
      <c r="O44" s="143"/>
      <c r="P44" s="143"/>
      <c r="Q44" s="143"/>
      <c r="R44" s="143"/>
      <c r="S44" s="143"/>
      <c r="T44" s="143"/>
      <c r="U44" s="143"/>
      <c r="V44" s="143"/>
      <c r="W44" s="143"/>
      <c r="X44" s="143"/>
      <c r="Y44" s="143"/>
      <c r="Z44" s="143"/>
      <c r="AA44" s="143"/>
      <c r="AB44" s="143"/>
      <c r="AC44" s="143"/>
      <c r="AE44" s="114">
        <f t="shared" si="5"/>
        <v>0.54655230650453579</v>
      </c>
      <c r="AF44" s="114">
        <f t="shared" si="5"/>
        <v>0.58385282043484876</v>
      </c>
      <c r="AG44" s="114">
        <f t="shared" si="5"/>
        <v>0.57200632051182887</v>
      </c>
      <c r="AH44" s="114">
        <f t="shared" si="5"/>
        <v>0.58590005396197264</v>
      </c>
      <c r="AI44" s="114">
        <f t="shared" si="5"/>
        <v>0.61949070031216436</v>
      </c>
      <c r="AK44" s="115">
        <f t="shared" si="6"/>
        <v>4613</v>
      </c>
      <c r="AL44" s="115">
        <f t="shared" si="6"/>
        <v>1846</v>
      </c>
      <c r="AM44" s="115">
        <f t="shared" si="6"/>
        <v>3608</v>
      </c>
      <c r="AN44" s="115">
        <f t="shared" si="6"/>
        <v>6344</v>
      </c>
      <c r="AP44" s="114">
        <f t="shared" si="7"/>
        <v>0.10181649634714282</v>
      </c>
      <c r="AQ44" s="114">
        <f t="shared" si="7"/>
        <v>3.6979166666666667E-2</v>
      </c>
      <c r="AR44" s="114">
        <f t="shared" si="7"/>
        <v>6.9698257543561418E-2</v>
      </c>
      <c r="AS44" s="114">
        <f t="shared" si="7"/>
        <v>0.11456640300502041</v>
      </c>
    </row>
    <row r="45" spans="1:45" ht="16.5" customHeight="1" x14ac:dyDescent="0.3">
      <c r="A45" s="116" t="s">
        <v>265</v>
      </c>
      <c r="B45" s="117"/>
      <c r="C45" s="117"/>
      <c r="D45" s="117"/>
      <c r="E45" s="117"/>
      <c r="F45" s="117"/>
      <c r="G45" s="119">
        <v>1.34E-2</v>
      </c>
      <c r="H45" s="119">
        <f>IFERROR((H44-G44)/G44,0)</f>
        <v>0.10181649634714282</v>
      </c>
      <c r="I45" s="119">
        <f>IFERROR((I44-H44)/H44,0)</f>
        <v>3.6979166666666667E-2</v>
      </c>
      <c r="J45" s="119">
        <f>IFERROR((J44-I44)/I44,0)</f>
        <v>6.9698257543561418E-2</v>
      </c>
      <c r="K45" s="119">
        <f>IFERROR((K44-J44)/J44,0)</f>
        <v>0.11456640300502041</v>
      </c>
      <c r="L45" s="119"/>
      <c r="M45" s="119"/>
      <c r="N45" s="119"/>
      <c r="O45" s="119"/>
      <c r="P45" s="119"/>
      <c r="Q45" s="119"/>
      <c r="R45" s="119"/>
      <c r="S45" s="119"/>
      <c r="T45" s="119"/>
      <c r="U45" s="119"/>
      <c r="V45" s="119"/>
      <c r="W45" s="119"/>
      <c r="X45" s="119"/>
      <c r="Y45" s="119"/>
      <c r="Z45" s="119"/>
      <c r="AA45" s="119"/>
      <c r="AB45" s="119"/>
      <c r="AC45" s="119"/>
      <c r="AE45" s="114">
        <f t="shared" si="5"/>
        <v>1.6164833043813936E-7</v>
      </c>
      <c r="AF45" s="114">
        <f t="shared" si="5"/>
        <v>1.1908222868404208E-6</v>
      </c>
      <c r="AG45" s="114">
        <f t="shared" si="5"/>
        <v>4.0861409150009023E-7</v>
      </c>
      <c r="AH45" s="114">
        <f t="shared" si="5"/>
        <v>7.374618567527739E-7</v>
      </c>
      <c r="AI45" s="114">
        <f t="shared" si="5"/>
        <v>1.149953356068339E-6</v>
      </c>
      <c r="AK45" s="115">
        <f t="shared" si="6"/>
        <v>8.8416496347142826E-2</v>
      </c>
      <c r="AL45" s="115">
        <f t="shared" si="6"/>
        <v>-6.4837329680476147E-2</v>
      </c>
      <c r="AM45" s="115">
        <f t="shared" si="6"/>
        <v>3.2719090876894751E-2</v>
      </c>
      <c r="AN45" s="115">
        <f t="shared" si="6"/>
        <v>4.4868145461458994E-2</v>
      </c>
      <c r="AP45" s="114">
        <f t="shared" si="7"/>
        <v>6.5982459960554349</v>
      </c>
      <c r="AQ45" s="114">
        <f t="shared" si="7"/>
        <v>-0.63680574373148335</v>
      </c>
      <c r="AR45" s="114">
        <f t="shared" si="7"/>
        <v>0.88479795047377352</v>
      </c>
      <c r="AS45" s="114">
        <f t="shared" si="7"/>
        <v>0.64374845287081095</v>
      </c>
    </row>
    <row r="46" spans="1:45" ht="16.5" customHeight="1" x14ac:dyDescent="0.3">
      <c r="A46" s="116" t="s">
        <v>266</v>
      </c>
      <c r="B46" s="117"/>
      <c r="C46" s="117"/>
      <c r="D46" s="117"/>
      <c r="E46" s="117"/>
      <c r="F46" s="117"/>
      <c r="G46" s="118">
        <v>19978</v>
      </c>
      <c r="H46" s="118">
        <v>20522</v>
      </c>
      <c r="I46" s="118">
        <v>20777</v>
      </c>
      <c r="J46" s="118">
        <v>20836</v>
      </c>
      <c r="K46" s="118">
        <v>19602</v>
      </c>
      <c r="L46" s="118"/>
      <c r="M46" s="118"/>
      <c r="N46" s="118"/>
      <c r="O46" s="118"/>
      <c r="P46" s="118"/>
      <c r="Q46" s="118"/>
      <c r="R46" s="118"/>
      <c r="S46" s="118"/>
      <c r="T46" s="118"/>
      <c r="U46" s="118"/>
      <c r="V46" s="118"/>
      <c r="W46" s="118"/>
      <c r="X46" s="118"/>
      <c r="Y46" s="118"/>
      <c r="Z46" s="118"/>
      <c r="AA46" s="118"/>
      <c r="AB46" s="118"/>
      <c r="AC46" s="118"/>
      <c r="AE46" s="114">
        <f t="shared" si="5"/>
        <v>0.24100077205172746</v>
      </c>
      <c r="AF46" s="114">
        <f t="shared" si="5"/>
        <v>0.24002058455456662</v>
      </c>
      <c r="AG46" s="114">
        <f t="shared" si="5"/>
        <v>0.22958264732206984</v>
      </c>
      <c r="AH46" s="114">
        <f t="shared" si="5"/>
        <v>0.22046111034694374</v>
      </c>
      <c r="AI46" s="114">
        <f t="shared" si="5"/>
        <v>0.19675389201722424</v>
      </c>
      <c r="AK46" s="115">
        <f t="shared" si="6"/>
        <v>544</v>
      </c>
      <c r="AL46" s="115">
        <f t="shared" si="6"/>
        <v>255</v>
      </c>
      <c r="AM46" s="115">
        <f t="shared" si="6"/>
        <v>59</v>
      </c>
      <c r="AN46" s="115">
        <f t="shared" si="6"/>
        <v>-1234</v>
      </c>
      <c r="AP46" s="114">
        <f t="shared" si="7"/>
        <v>2.7229952948243066E-2</v>
      </c>
      <c r="AQ46" s="114">
        <f t="shared" si="7"/>
        <v>1.2425689503946983E-2</v>
      </c>
      <c r="AR46" s="114">
        <f t="shared" si="7"/>
        <v>2.8396784906386872E-3</v>
      </c>
      <c r="AS46" s="114">
        <f t="shared" si="7"/>
        <v>-5.9224419274332883E-2</v>
      </c>
    </row>
    <row r="47" spans="1:45" ht="16.5" customHeight="1" x14ac:dyDescent="0.3">
      <c r="A47" s="116" t="s">
        <v>267</v>
      </c>
      <c r="B47" s="117"/>
      <c r="C47" s="117"/>
      <c r="D47" s="117"/>
      <c r="E47" s="117"/>
      <c r="F47" s="117"/>
      <c r="G47" s="123">
        <v>471</v>
      </c>
      <c r="H47" s="123">
        <v>422</v>
      </c>
      <c r="I47" s="123">
        <v>412</v>
      </c>
      <c r="J47" s="123">
        <v>685</v>
      </c>
      <c r="K47" s="123">
        <v>763</v>
      </c>
      <c r="L47" s="123"/>
      <c r="M47" s="123"/>
      <c r="N47" s="123"/>
      <c r="O47" s="123"/>
      <c r="P47" s="123"/>
      <c r="Q47" s="123"/>
      <c r="R47" s="123"/>
      <c r="S47" s="123"/>
      <c r="T47" s="123"/>
      <c r="U47" s="123"/>
      <c r="V47" s="123"/>
      <c r="W47" s="123"/>
      <c r="X47" s="123"/>
      <c r="Y47" s="123"/>
      <c r="Z47" s="123"/>
      <c r="AA47" s="123"/>
      <c r="AB47" s="123"/>
      <c r="AC47" s="123"/>
      <c r="AE47" s="114">
        <f t="shared" si="5"/>
        <v>5.681818181818182E-3</v>
      </c>
      <c r="AF47" s="114">
        <f t="shared" si="5"/>
        <v>4.9356147881311329E-3</v>
      </c>
      <c r="AG47" s="114">
        <f t="shared" si="5"/>
        <v>4.5525364921159351E-3</v>
      </c>
      <c r="AH47" s="114">
        <f t="shared" si="5"/>
        <v>7.2478335855085648E-3</v>
      </c>
      <c r="AI47" s="114">
        <f t="shared" si="5"/>
        <v>7.6585664528692025E-3</v>
      </c>
      <c r="AK47" s="115">
        <f t="shared" si="6"/>
        <v>-49</v>
      </c>
      <c r="AL47" s="115">
        <f t="shared" si="6"/>
        <v>-10</v>
      </c>
      <c r="AM47" s="115">
        <f t="shared" si="6"/>
        <v>273</v>
      </c>
      <c r="AN47" s="115">
        <f t="shared" si="6"/>
        <v>78</v>
      </c>
      <c r="AP47" s="114">
        <f t="shared" si="7"/>
        <v>-0.1040339702760085</v>
      </c>
      <c r="AQ47" s="114">
        <f t="shared" si="7"/>
        <v>-2.3696682464454975E-2</v>
      </c>
      <c r="AR47" s="114">
        <f t="shared" si="7"/>
        <v>0.66262135922330101</v>
      </c>
      <c r="AS47" s="114">
        <f t="shared" si="7"/>
        <v>0.11386861313868613</v>
      </c>
    </row>
    <row r="48" spans="1:45" ht="16.5" customHeight="1" x14ac:dyDescent="0.3">
      <c r="A48" s="121" t="s">
        <v>268</v>
      </c>
      <c r="B48" s="117"/>
      <c r="C48" s="117"/>
      <c r="D48" s="117"/>
      <c r="E48" s="117"/>
      <c r="F48" s="117"/>
      <c r="G48" s="122">
        <f>SUM(G49,G50,G51,G52)</f>
        <v>9119</v>
      </c>
      <c r="H48" s="122">
        <f>SUM(H49,H50,H51,H52)</f>
        <v>8123</v>
      </c>
      <c r="I48" s="122">
        <f>SUM(I49,I50,I51,I52)</f>
        <v>7479</v>
      </c>
      <c r="J48" s="122">
        <f>SUM(J49,J50,J51,J52)</f>
        <v>7336</v>
      </c>
      <c r="K48" s="122">
        <f>SUM(K49,K50,K51,K52)</f>
        <v>6305</v>
      </c>
      <c r="L48" s="147"/>
      <c r="M48" s="147"/>
      <c r="N48" s="147"/>
      <c r="O48" s="147"/>
      <c r="P48" s="147"/>
      <c r="Q48" s="147"/>
      <c r="R48" s="147"/>
      <c r="S48" s="147"/>
      <c r="T48" s="147"/>
      <c r="U48" s="147"/>
      <c r="V48" s="147"/>
      <c r="W48" s="147"/>
      <c r="X48" s="147"/>
      <c r="Y48" s="147"/>
      <c r="Z48" s="147"/>
      <c r="AA48" s="147"/>
      <c r="AB48" s="147"/>
      <c r="AC48" s="147"/>
      <c r="AE48" s="114">
        <f t="shared" si="5"/>
        <v>0.11000530785562633</v>
      </c>
      <c r="AF48" s="114">
        <f t="shared" si="5"/>
        <v>9.500473678670425E-2</v>
      </c>
      <c r="AG48" s="114">
        <f t="shared" si="5"/>
        <v>8.2641797146929805E-2</v>
      </c>
      <c r="AH48" s="114">
        <f t="shared" si="5"/>
        <v>7.7620594428161799E-2</v>
      </c>
      <c r="AI48" s="114">
        <f t="shared" si="5"/>
        <v>6.3286056992582329E-2</v>
      </c>
      <c r="AK48" s="115">
        <f t="shared" si="6"/>
        <v>-996</v>
      </c>
      <c r="AL48" s="115">
        <f t="shared" si="6"/>
        <v>-644</v>
      </c>
      <c r="AM48" s="115">
        <f t="shared" si="6"/>
        <v>-143</v>
      </c>
      <c r="AN48" s="115">
        <f t="shared" si="6"/>
        <v>-1031</v>
      </c>
      <c r="AP48" s="114">
        <f t="shared" si="7"/>
        <v>-0.1092225024673758</v>
      </c>
      <c r="AQ48" s="114">
        <f t="shared" si="7"/>
        <v>-7.9281053797857937E-2</v>
      </c>
      <c r="AR48" s="114">
        <f t="shared" si="7"/>
        <v>-1.9120203235726701E-2</v>
      </c>
      <c r="AS48" s="114">
        <f t="shared" si="7"/>
        <v>-0.14053980370774263</v>
      </c>
    </row>
    <row r="49" spans="1:45" ht="16.5" customHeight="1" x14ac:dyDescent="0.3">
      <c r="A49" s="116" t="s">
        <v>269</v>
      </c>
      <c r="B49" s="117"/>
      <c r="C49" s="117"/>
      <c r="D49" s="117"/>
      <c r="E49" s="117"/>
      <c r="F49" s="117"/>
      <c r="G49" s="123" t="s">
        <v>230</v>
      </c>
      <c r="H49" s="123" t="s">
        <v>230</v>
      </c>
      <c r="I49" s="123" t="s">
        <v>230</v>
      </c>
      <c r="J49" s="123" t="s">
        <v>230</v>
      </c>
      <c r="K49" s="123" t="s">
        <v>230</v>
      </c>
      <c r="L49" s="123"/>
      <c r="M49" s="123"/>
      <c r="N49" s="123"/>
      <c r="O49" s="123"/>
      <c r="P49" s="123"/>
      <c r="Q49" s="123"/>
      <c r="R49" s="123"/>
      <c r="S49" s="123"/>
      <c r="T49" s="123"/>
      <c r="U49" s="123"/>
      <c r="V49" s="123"/>
      <c r="W49" s="123"/>
      <c r="X49" s="123"/>
      <c r="Y49" s="123"/>
      <c r="Z49" s="123"/>
      <c r="AA49" s="123"/>
      <c r="AB49" s="123"/>
      <c r="AC49" s="123"/>
      <c r="AE49" s="114">
        <f t="shared" si="5"/>
        <v>0</v>
      </c>
      <c r="AF49" s="114">
        <f t="shared" si="5"/>
        <v>0</v>
      </c>
      <c r="AG49" s="114">
        <f t="shared" si="5"/>
        <v>0</v>
      </c>
      <c r="AH49" s="114">
        <f t="shared" si="5"/>
        <v>0</v>
      </c>
      <c r="AI49" s="114">
        <f t="shared" si="5"/>
        <v>0</v>
      </c>
      <c r="AK49" s="115">
        <f t="shared" si="6"/>
        <v>0</v>
      </c>
      <c r="AL49" s="115">
        <f t="shared" si="6"/>
        <v>0</v>
      </c>
      <c r="AM49" s="115">
        <f t="shared" si="6"/>
        <v>0</v>
      </c>
      <c r="AN49" s="115">
        <f t="shared" si="6"/>
        <v>0</v>
      </c>
      <c r="AP49" s="114">
        <f t="shared" si="7"/>
        <v>0</v>
      </c>
      <c r="AQ49" s="114">
        <f t="shared" si="7"/>
        <v>0</v>
      </c>
      <c r="AR49" s="114">
        <f t="shared" si="7"/>
        <v>0</v>
      </c>
      <c r="AS49" s="114">
        <f t="shared" si="7"/>
        <v>0</v>
      </c>
    </row>
    <row r="50" spans="1:45" ht="16.5" customHeight="1" x14ac:dyDescent="0.3">
      <c r="A50" s="116" t="s">
        <v>270</v>
      </c>
      <c r="B50" s="117"/>
      <c r="C50" s="117"/>
      <c r="D50" s="117"/>
      <c r="E50" s="117"/>
      <c r="F50" s="117"/>
      <c r="G50" s="123" t="s">
        <v>230</v>
      </c>
      <c r="H50" s="123" t="s">
        <v>230</v>
      </c>
      <c r="I50" s="123" t="s">
        <v>230</v>
      </c>
      <c r="J50" s="123" t="s">
        <v>230</v>
      </c>
      <c r="K50" s="123" t="s">
        <v>230</v>
      </c>
      <c r="L50" s="123"/>
      <c r="M50" s="123"/>
      <c r="N50" s="123"/>
      <c r="O50" s="123"/>
      <c r="P50" s="123"/>
      <c r="Q50" s="123"/>
      <c r="R50" s="123"/>
      <c r="S50" s="123"/>
      <c r="T50" s="123"/>
      <c r="U50" s="123"/>
      <c r="V50" s="123"/>
      <c r="W50" s="123"/>
      <c r="X50" s="123"/>
      <c r="Y50" s="123"/>
      <c r="Z50" s="123"/>
      <c r="AA50" s="123"/>
      <c r="AB50" s="123"/>
      <c r="AC50" s="123"/>
      <c r="AE50" s="114">
        <f t="shared" si="5"/>
        <v>0</v>
      </c>
      <c r="AF50" s="114">
        <f t="shared" si="5"/>
        <v>0</v>
      </c>
      <c r="AG50" s="114">
        <f t="shared" si="5"/>
        <v>0</v>
      </c>
      <c r="AH50" s="114">
        <f t="shared" si="5"/>
        <v>0</v>
      </c>
      <c r="AI50" s="114">
        <f t="shared" si="5"/>
        <v>0</v>
      </c>
      <c r="AK50" s="115">
        <f t="shared" si="6"/>
        <v>0</v>
      </c>
      <c r="AL50" s="115">
        <f t="shared" si="6"/>
        <v>0</v>
      </c>
      <c r="AM50" s="115">
        <f t="shared" si="6"/>
        <v>0</v>
      </c>
      <c r="AN50" s="115">
        <f t="shared" si="6"/>
        <v>0</v>
      </c>
      <c r="AP50" s="114">
        <f t="shared" si="7"/>
        <v>0</v>
      </c>
      <c r="AQ50" s="114">
        <f t="shared" si="7"/>
        <v>0</v>
      </c>
      <c r="AR50" s="114">
        <f t="shared" si="7"/>
        <v>0</v>
      </c>
      <c r="AS50" s="114">
        <f t="shared" si="7"/>
        <v>0</v>
      </c>
    </row>
    <row r="51" spans="1:45" ht="16.5" customHeight="1" x14ac:dyDescent="0.3">
      <c r="A51" s="116" t="s">
        <v>271</v>
      </c>
      <c r="B51" s="117"/>
      <c r="C51" s="117"/>
      <c r="D51" s="117"/>
      <c r="E51" s="117"/>
      <c r="F51" s="117"/>
      <c r="G51" s="118">
        <v>6128</v>
      </c>
      <c r="H51" s="118">
        <v>5332</v>
      </c>
      <c r="I51" s="118">
        <v>5114</v>
      </c>
      <c r="J51" s="118">
        <v>5301</v>
      </c>
      <c r="K51" s="118">
        <v>5549</v>
      </c>
      <c r="L51" s="118"/>
      <c r="M51" s="118"/>
      <c r="N51" s="118"/>
      <c r="O51" s="118"/>
      <c r="P51" s="118"/>
      <c r="Q51" s="118"/>
      <c r="R51" s="118"/>
      <c r="S51" s="118"/>
      <c r="T51" s="118"/>
      <c r="U51" s="118"/>
      <c r="V51" s="118"/>
      <c r="W51" s="118"/>
      <c r="X51" s="118"/>
      <c r="Y51" s="118"/>
      <c r="Z51" s="118"/>
      <c r="AA51" s="118"/>
      <c r="AB51" s="118"/>
      <c r="AC51" s="118"/>
      <c r="AE51" s="114">
        <f t="shared" si="5"/>
        <v>7.3923952904844631E-2</v>
      </c>
      <c r="AF51" s="114">
        <f t="shared" si="5"/>
        <v>6.2361843721126069E-2</v>
      </c>
      <c r="AG51" s="114">
        <f t="shared" si="5"/>
        <v>5.6508911700681778E-2</v>
      </c>
      <c r="AH51" s="114">
        <f t="shared" si="5"/>
        <v>5.608870925077504E-2</v>
      </c>
      <c r="AI51" s="114">
        <f t="shared" si="5"/>
        <v>5.569775261726239E-2</v>
      </c>
      <c r="AK51" s="115">
        <f t="shared" si="6"/>
        <v>-796</v>
      </c>
      <c r="AL51" s="115">
        <f t="shared" si="6"/>
        <v>-218</v>
      </c>
      <c r="AM51" s="115">
        <f t="shared" si="6"/>
        <v>187</v>
      </c>
      <c r="AN51" s="115">
        <f t="shared" si="6"/>
        <v>248</v>
      </c>
      <c r="AP51" s="114">
        <f t="shared" si="7"/>
        <v>-0.12989556135770236</v>
      </c>
      <c r="AQ51" s="114">
        <f t="shared" si="7"/>
        <v>-4.0885221305326333E-2</v>
      </c>
      <c r="AR51" s="114">
        <f t="shared" si="7"/>
        <v>3.6566288619475945E-2</v>
      </c>
      <c r="AS51" s="114">
        <f t="shared" si="7"/>
        <v>4.6783625730994149E-2</v>
      </c>
    </row>
    <row r="52" spans="1:45" ht="16.5" customHeight="1" x14ac:dyDescent="0.3">
      <c r="A52" s="116" t="s">
        <v>272</v>
      </c>
      <c r="B52" s="117"/>
      <c r="C52" s="117"/>
      <c r="D52" s="117"/>
      <c r="E52" s="117"/>
      <c r="F52" s="117"/>
      <c r="G52" s="118">
        <v>2991</v>
      </c>
      <c r="H52" s="118">
        <v>2791</v>
      </c>
      <c r="I52" s="118">
        <v>2365</v>
      </c>
      <c r="J52" s="118">
        <v>2035</v>
      </c>
      <c r="K52" s="123">
        <v>756</v>
      </c>
      <c r="L52" s="123"/>
      <c r="M52" s="123"/>
      <c r="N52" s="123"/>
      <c r="O52" s="123"/>
      <c r="P52" s="123"/>
      <c r="Q52" s="123"/>
      <c r="R52" s="123"/>
      <c r="S52" s="123"/>
      <c r="T52" s="123"/>
      <c r="U52" s="123"/>
      <c r="V52" s="123"/>
      <c r="W52" s="123"/>
      <c r="X52" s="123"/>
      <c r="Y52" s="123"/>
      <c r="Z52" s="123"/>
      <c r="AA52" s="123"/>
      <c r="AB52" s="123"/>
      <c r="AC52" s="123"/>
      <c r="AE52" s="114">
        <f t="shared" si="5"/>
        <v>3.6081354950781699E-2</v>
      </c>
      <c r="AF52" s="114">
        <f t="shared" si="5"/>
        <v>3.2642893065578181E-2</v>
      </c>
      <c r="AG52" s="114">
        <f t="shared" si="5"/>
        <v>2.6132885446248026E-2</v>
      </c>
      <c r="AH52" s="114">
        <f t="shared" si="5"/>
        <v>2.1531885177386759E-2</v>
      </c>
      <c r="AI52" s="114">
        <f t="shared" si="5"/>
        <v>7.5883043753199432E-3</v>
      </c>
      <c r="AK52" s="115">
        <f t="shared" si="6"/>
        <v>-200</v>
      </c>
      <c r="AL52" s="115">
        <f t="shared" si="6"/>
        <v>-426</v>
      </c>
      <c r="AM52" s="115">
        <f t="shared" si="6"/>
        <v>-330</v>
      </c>
      <c r="AN52" s="115">
        <f t="shared" si="6"/>
        <v>-1279</v>
      </c>
      <c r="AP52" s="114">
        <f t="shared" si="7"/>
        <v>-6.6867268472082922E-2</v>
      </c>
      <c r="AQ52" s="114">
        <f t="shared" si="7"/>
        <v>-0.15263346470798997</v>
      </c>
      <c r="AR52" s="114">
        <f t="shared" si="7"/>
        <v>-0.13953488372093023</v>
      </c>
      <c r="AS52" s="114">
        <f t="shared" si="7"/>
        <v>-0.62850122850122847</v>
      </c>
    </row>
    <row r="53" spans="1:45" ht="17.25" customHeight="1" thickBot="1" x14ac:dyDescent="0.35">
      <c r="A53" s="111" t="s">
        <v>273</v>
      </c>
      <c r="B53" s="112"/>
      <c r="C53" s="112"/>
      <c r="D53" s="112"/>
      <c r="E53" s="112"/>
      <c r="F53" s="112"/>
      <c r="G53" s="113">
        <f>SUM(G54,G58,G61,G62,G65)</f>
        <v>37589</v>
      </c>
      <c r="H53" s="113">
        <f>SUM(H54,H58,H61,H62,H65)</f>
        <v>35581</v>
      </c>
      <c r="I53" s="113">
        <f>SUM(I54,I58,I61,I62,I65)</f>
        <v>38733</v>
      </c>
      <c r="J53" s="113">
        <f>SUM(J54,J58,J61,J62,J65)</f>
        <v>39137</v>
      </c>
      <c r="K53" s="113">
        <f>SUM(K54,K58,K61,K62,K65)</f>
        <v>37909</v>
      </c>
      <c r="L53" s="143"/>
      <c r="M53" s="143"/>
      <c r="N53" s="143"/>
      <c r="O53" s="143"/>
      <c r="P53" s="143"/>
      <c r="Q53" s="143"/>
      <c r="R53" s="143"/>
      <c r="S53" s="143"/>
      <c r="T53" s="143"/>
      <c r="U53" s="143"/>
      <c r="V53" s="143"/>
      <c r="W53" s="143"/>
      <c r="X53" s="143"/>
      <c r="Y53" s="143"/>
      <c r="Z53" s="143"/>
      <c r="AA53" s="143"/>
      <c r="AB53" s="143"/>
      <c r="AC53" s="143"/>
      <c r="AE53" s="114">
        <f t="shared" si="5"/>
        <v>0.45344769349546421</v>
      </c>
      <c r="AF53" s="114">
        <f t="shared" si="5"/>
        <v>0.41614717956515129</v>
      </c>
      <c r="AG53" s="114">
        <f t="shared" si="5"/>
        <v>0.42799367948817113</v>
      </c>
      <c r="AH53" s="114">
        <f t="shared" si="5"/>
        <v>0.4140999460380273</v>
      </c>
      <c r="AI53" s="114">
        <f t="shared" si="5"/>
        <v>0.38050929968783564</v>
      </c>
      <c r="AK53" s="115">
        <f t="shared" si="6"/>
        <v>-2008</v>
      </c>
      <c r="AL53" s="115">
        <f t="shared" si="6"/>
        <v>3152</v>
      </c>
      <c r="AM53" s="115">
        <f t="shared" si="6"/>
        <v>404</v>
      </c>
      <c r="AN53" s="115">
        <f t="shared" si="6"/>
        <v>-1228</v>
      </c>
      <c r="AP53" s="114">
        <f t="shared" si="7"/>
        <v>-5.3419883476548989E-2</v>
      </c>
      <c r="AQ53" s="114">
        <f t="shared" si="7"/>
        <v>8.8586605210646138E-2</v>
      </c>
      <c r="AR53" s="114">
        <f t="shared" si="7"/>
        <v>1.0430382361293986E-2</v>
      </c>
      <c r="AS53" s="114">
        <f t="shared" si="7"/>
        <v>-3.1376957865958045E-2</v>
      </c>
    </row>
    <row r="54" spans="1:45" ht="16.5" customHeight="1" x14ac:dyDescent="0.3">
      <c r="A54" s="116" t="s">
        <v>274</v>
      </c>
      <c r="B54" s="117"/>
      <c r="C54" s="117"/>
      <c r="D54" s="117"/>
      <c r="E54" s="117"/>
      <c r="F54" s="117"/>
      <c r="G54" s="118">
        <v>3080</v>
      </c>
      <c r="H54" s="118">
        <v>2324</v>
      </c>
      <c r="I54" s="118">
        <v>1698</v>
      </c>
      <c r="J54" s="118">
        <v>1031</v>
      </c>
      <c r="K54" s="123">
        <v>745</v>
      </c>
      <c r="L54" s="123"/>
      <c r="M54" s="123"/>
      <c r="N54" s="123"/>
      <c r="O54" s="123"/>
      <c r="P54" s="123"/>
      <c r="Q54" s="123"/>
      <c r="R54" s="123"/>
      <c r="S54" s="123"/>
      <c r="T54" s="123"/>
      <c r="U54" s="123"/>
      <c r="V54" s="123"/>
      <c r="W54" s="123"/>
      <c r="X54" s="123"/>
      <c r="Y54" s="123"/>
      <c r="Z54" s="123"/>
      <c r="AA54" s="123"/>
      <c r="AB54" s="123"/>
      <c r="AC54" s="123"/>
      <c r="AE54" s="114">
        <f t="shared" si="5"/>
        <v>3.7154989384288746E-2</v>
      </c>
      <c r="AF54" s="114">
        <f t="shared" si="5"/>
        <v>2.7180968643641595E-2</v>
      </c>
      <c r="AG54" s="114">
        <f t="shared" si="5"/>
        <v>1.8762638261196257E-2</v>
      </c>
      <c r="AH54" s="114">
        <f t="shared" si="5"/>
        <v>1.0908783104612161E-2</v>
      </c>
      <c r="AI54" s="114">
        <f t="shared" si="5"/>
        <v>7.4778925391711078E-3</v>
      </c>
      <c r="AK54" s="115">
        <f t="shared" si="6"/>
        <v>-756</v>
      </c>
      <c r="AL54" s="115">
        <f t="shared" si="6"/>
        <v>-626</v>
      </c>
      <c r="AM54" s="115">
        <f t="shared" si="6"/>
        <v>-667</v>
      </c>
      <c r="AN54" s="115">
        <f t="shared" si="6"/>
        <v>-286</v>
      </c>
      <c r="AP54" s="114">
        <f t="shared" si="7"/>
        <v>-0.24545454545454545</v>
      </c>
      <c r="AQ54" s="114">
        <f t="shared" si="7"/>
        <v>-0.26936316695352841</v>
      </c>
      <c r="AR54" s="114">
        <f t="shared" si="7"/>
        <v>-0.39281507656065962</v>
      </c>
      <c r="AS54" s="114">
        <f t="shared" si="7"/>
        <v>-0.27740058195926287</v>
      </c>
    </row>
    <row r="55" spans="1:45" ht="16.5" customHeight="1" x14ac:dyDescent="0.3">
      <c r="A55" s="116" t="s">
        <v>275</v>
      </c>
      <c r="B55" s="117"/>
      <c r="C55" s="117"/>
      <c r="D55" s="117"/>
      <c r="E55" s="117"/>
      <c r="F55" s="117"/>
      <c r="G55" s="123" t="s">
        <v>230</v>
      </c>
      <c r="H55" s="123" t="s">
        <v>230</v>
      </c>
      <c r="I55" s="123" t="s">
        <v>230</v>
      </c>
      <c r="J55" s="123" t="s">
        <v>230</v>
      </c>
      <c r="K55" s="123" t="s">
        <v>230</v>
      </c>
      <c r="L55" s="123"/>
      <c r="M55" s="123"/>
      <c r="N55" s="123"/>
      <c r="O55" s="123"/>
      <c r="P55" s="123"/>
      <c r="Q55" s="123"/>
      <c r="R55" s="123"/>
      <c r="S55" s="123"/>
      <c r="T55" s="123"/>
      <c r="U55" s="123"/>
      <c r="V55" s="123"/>
      <c r="W55" s="123"/>
      <c r="X55" s="123"/>
      <c r="Y55" s="123"/>
      <c r="Z55" s="123"/>
      <c r="AA55" s="123"/>
      <c r="AB55" s="123"/>
      <c r="AC55" s="123"/>
      <c r="AE55" s="114">
        <f t="shared" si="5"/>
        <v>0</v>
      </c>
      <c r="AF55" s="114">
        <f t="shared" si="5"/>
        <v>0</v>
      </c>
      <c r="AG55" s="114">
        <f t="shared" si="5"/>
        <v>0</v>
      </c>
      <c r="AH55" s="114">
        <f t="shared" si="5"/>
        <v>0</v>
      </c>
      <c r="AI55" s="114">
        <f t="shared" si="5"/>
        <v>0</v>
      </c>
      <c r="AK55" s="115">
        <f t="shared" si="6"/>
        <v>0</v>
      </c>
      <c r="AL55" s="115">
        <f t="shared" si="6"/>
        <v>0</v>
      </c>
      <c r="AM55" s="115">
        <f t="shared" si="6"/>
        <v>0</v>
      </c>
      <c r="AN55" s="115">
        <f t="shared" si="6"/>
        <v>0</v>
      </c>
      <c r="AP55" s="114">
        <f t="shared" si="7"/>
        <v>0</v>
      </c>
      <c r="AQ55" s="114">
        <f t="shared" si="7"/>
        <v>0</v>
      </c>
      <c r="AR55" s="114">
        <f t="shared" si="7"/>
        <v>0</v>
      </c>
      <c r="AS55" s="114">
        <f t="shared" si="7"/>
        <v>0</v>
      </c>
    </row>
    <row r="56" spans="1:45" ht="16.5" customHeight="1" x14ac:dyDescent="0.3">
      <c r="A56" s="116" t="s">
        <v>276</v>
      </c>
      <c r="B56" s="117"/>
      <c r="C56" s="117"/>
      <c r="D56" s="117"/>
      <c r="E56" s="117"/>
      <c r="F56" s="117"/>
      <c r="G56" s="123" t="s">
        <v>230</v>
      </c>
      <c r="H56" s="123" t="s">
        <v>230</v>
      </c>
      <c r="I56" s="123" t="s">
        <v>230</v>
      </c>
      <c r="J56" s="123" t="s">
        <v>230</v>
      </c>
      <c r="K56" s="123" t="s">
        <v>230</v>
      </c>
      <c r="L56" s="123"/>
      <c r="M56" s="123"/>
      <c r="N56" s="123"/>
      <c r="O56" s="123"/>
      <c r="P56" s="123"/>
      <c r="Q56" s="123"/>
      <c r="R56" s="123"/>
      <c r="S56" s="123"/>
      <c r="T56" s="123"/>
      <c r="U56" s="123"/>
      <c r="V56" s="123"/>
      <c r="W56" s="123"/>
      <c r="X56" s="123"/>
      <c r="Y56" s="123"/>
      <c r="Z56" s="123"/>
      <c r="AA56" s="123"/>
      <c r="AB56" s="123"/>
      <c r="AC56" s="123"/>
      <c r="AE56" s="114">
        <f t="shared" si="5"/>
        <v>0</v>
      </c>
      <c r="AF56" s="114">
        <f t="shared" si="5"/>
        <v>0</v>
      </c>
      <c r="AG56" s="114">
        <f t="shared" si="5"/>
        <v>0</v>
      </c>
      <c r="AH56" s="114">
        <f t="shared" si="5"/>
        <v>0</v>
      </c>
      <c r="AI56" s="114">
        <f t="shared" si="5"/>
        <v>0</v>
      </c>
      <c r="AK56" s="115">
        <f t="shared" si="6"/>
        <v>0</v>
      </c>
      <c r="AL56" s="115">
        <f t="shared" si="6"/>
        <v>0</v>
      </c>
      <c r="AM56" s="115">
        <f t="shared" si="6"/>
        <v>0</v>
      </c>
      <c r="AN56" s="115">
        <f t="shared" si="6"/>
        <v>0</v>
      </c>
      <c r="AP56" s="114">
        <f t="shared" si="7"/>
        <v>0</v>
      </c>
      <c r="AQ56" s="114">
        <f t="shared" si="7"/>
        <v>0</v>
      </c>
      <c r="AR56" s="114">
        <f t="shared" si="7"/>
        <v>0</v>
      </c>
      <c r="AS56" s="114">
        <f t="shared" si="7"/>
        <v>0</v>
      </c>
    </row>
    <row r="57" spans="1:45" ht="16.5" customHeight="1" x14ac:dyDescent="0.3">
      <c r="A57" s="116" t="s">
        <v>277</v>
      </c>
      <c r="B57" s="117"/>
      <c r="C57" s="117"/>
      <c r="D57" s="117"/>
      <c r="E57" s="117"/>
      <c r="F57" s="117"/>
      <c r="G57" s="118">
        <v>3080</v>
      </c>
      <c r="H57" s="118">
        <v>2324</v>
      </c>
      <c r="I57" s="118">
        <v>1698</v>
      </c>
      <c r="J57" s="118">
        <v>1031</v>
      </c>
      <c r="K57" s="123">
        <v>745</v>
      </c>
      <c r="L57" s="123"/>
      <c r="M57" s="123"/>
      <c r="N57" s="123"/>
      <c r="O57" s="123"/>
      <c r="P57" s="123"/>
      <c r="Q57" s="123"/>
      <c r="R57" s="123"/>
      <c r="S57" s="123"/>
      <c r="T57" s="123"/>
      <c r="U57" s="123"/>
      <c r="V57" s="123"/>
      <c r="W57" s="123"/>
      <c r="X57" s="123"/>
      <c r="Y57" s="123"/>
      <c r="Z57" s="123"/>
      <c r="AA57" s="123"/>
      <c r="AB57" s="123"/>
      <c r="AC57" s="123"/>
      <c r="AE57" s="114">
        <f t="shared" si="5"/>
        <v>3.7154989384288746E-2</v>
      </c>
      <c r="AF57" s="114">
        <f t="shared" si="5"/>
        <v>2.7180968643641595E-2</v>
      </c>
      <c r="AG57" s="114">
        <f t="shared" si="5"/>
        <v>1.8762638261196257E-2</v>
      </c>
      <c r="AH57" s="114">
        <f t="shared" si="5"/>
        <v>1.0908783104612161E-2</v>
      </c>
      <c r="AI57" s="114">
        <f t="shared" si="5"/>
        <v>7.4778925391711078E-3</v>
      </c>
      <c r="AK57" s="115">
        <f t="shared" si="6"/>
        <v>-756</v>
      </c>
      <c r="AL57" s="115">
        <f t="shared" si="6"/>
        <v>-626</v>
      </c>
      <c r="AM57" s="115">
        <f t="shared" si="6"/>
        <v>-667</v>
      </c>
      <c r="AN57" s="115">
        <f t="shared" si="6"/>
        <v>-286</v>
      </c>
      <c r="AP57" s="114">
        <f t="shared" si="7"/>
        <v>-0.24545454545454545</v>
      </c>
      <c r="AQ57" s="114">
        <f t="shared" si="7"/>
        <v>-0.26936316695352841</v>
      </c>
      <c r="AR57" s="114">
        <f t="shared" si="7"/>
        <v>-0.39281507656065962</v>
      </c>
      <c r="AS57" s="114">
        <f t="shared" si="7"/>
        <v>-0.27740058195926287</v>
      </c>
    </row>
    <row r="58" spans="1:45" ht="16.5" customHeight="1" x14ac:dyDescent="0.3">
      <c r="A58" s="116" t="s">
        <v>278</v>
      </c>
      <c r="B58" s="117"/>
      <c r="C58" s="117"/>
      <c r="D58" s="117"/>
      <c r="E58" s="117"/>
      <c r="F58" s="117"/>
      <c r="G58" s="118">
        <v>18855</v>
      </c>
      <c r="H58" s="118">
        <v>19545</v>
      </c>
      <c r="I58" s="118">
        <v>20452</v>
      </c>
      <c r="J58" s="118">
        <v>21229</v>
      </c>
      <c r="K58" s="118">
        <v>21934</v>
      </c>
      <c r="L58" s="118"/>
      <c r="M58" s="118"/>
      <c r="N58" s="118"/>
      <c r="O58" s="118"/>
      <c r="P58" s="118"/>
      <c r="Q58" s="118"/>
      <c r="R58" s="118"/>
      <c r="S58" s="118"/>
      <c r="T58" s="118"/>
      <c r="U58" s="118"/>
      <c r="V58" s="118"/>
      <c r="W58" s="118"/>
      <c r="X58" s="118"/>
      <c r="Y58" s="118"/>
      <c r="Z58" s="118"/>
      <c r="AA58" s="118"/>
      <c r="AB58" s="118"/>
      <c r="AC58" s="118"/>
      <c r="AE58" s="114">
        <f t="shared" si="5"/>
        <v>0.22745367689635207</v>
      </c>
      <c r="AF58" s="114">
        <f t="shared" si="5"/>
        <v>0.22859381761616823</v>
      </c>
      <c r="AG58" s="114">
        <f t="shared" si="5"/>
        <v>0.22599144741930849</v>
      </c>
      <c r="AH58" s="114">
        <f t="shared" si="5"/>
        <v>0.22461935647702383</v>
      </c>
      <c r="AI58" s="114">
        <f t="shared" si="5"/>
        <v>0.22016120128077729</v>
      </c>
      <c r="AK58" s="115">
        <f t="shared" si="6"/>
        <v>690</v>
      </c>
      <c r="AL58" s="115">
        <f t="shared" si="6"/>
        <v>907</v>
      </c>
      <c r="AM58" s="115">
        <f t="shared" si="6"/>
        <v>777</v>
      </c>
      <c r="AN58" s="115">
        <f t="shared" si="6"/>
        <v>705</v>
      </c>
      <c r="AP58" s="114">
        <f t="shared" si="7"/>
        <v>3.6595067621320608E-2</v>
      </c>
      <c r="AQ58" s="114">
        <f t="shared" si="7"/>
        <v>4.6405730365822462E-2</v>
      </c>
      <c r="AR58" s="114">
        <f t="shared" si="7"/>
        <v>3.799139448464698E-2</v>
      </c>
      <c r="AS58" s="114">
        <f t="shared" si="7"/>
        <v>3.3209289179895428E-2</v>
      </c>
    </row>
    <row r="59" spans="1:45" ht="16.5" customHeight="1" x14ac:dyDescent="0.3">
      <c r="A59" s="116" t="s">
        <v>279</v>
      </c>
      <c r="B59" s="117"/>
      <c r="C59" s="117"/>
      <c r="D59" s="117"/>
      <c r="E59" s="117"/>
      <c r="F59" s="117"/>
      <c r="G59" s="118">
        <v>18855</v>
      </c>
      <c r="H59" s="118">
        <v>19545</v>
      </c>
      <c r="I59" s="123" t="s">
        <v>230</v>
      </c>
      <c r="J59" s="123" t="s">
        <v>230</v>
      </c>
      <c r="K59" s="123" t="s">
        <v>230</v>
      </c>
      <c r="L59" s="123"/>
      <c r="M59" s="123"/>
      <c r="N59" s="123"/>
      <c r="O59" s="123"/>
      <c r="P59" s="123"/>
      <c r="Q59" s="123"/>
      <c r="R59" s="123"/>
      <c r="S59" s="123"/>
      <c r="T59" s="123"/>
      <c r="U59" s="123"/>
      <c r="V59" s="123"/>
      <c r="W59" s="123"/>
      <c r="X59" s="123"/>
      <c r="Y59" s="123"/>
      <c r="Z59" s="123"/>
      <c r="AA59" s="123"/>
      <c r="AB59" s="123"/>
      <c r="AC59" s="123"/>
      <c r="AE59" s="114">
        <f t="shared" si="5"/>
        <v>0.22745367689635207</v>
      </c>
      <c r="AF59" s="114">
        <f t="shared" si="5"/>
        <v>0.22859381761616823</v>
      </c>
      <c r="AG59" s="114">
        <f t="shared" si="5"/>
        <v>0</v>
      </c>
      <c r="AH59" s="114">
        <f t="shared" si="5"/>
        <v>0</v>
      </c>
      <c r="AI59" s="114">
        <f t="shared" si="5"/>
        <v>0</v>
      </c>
      <c r="AK59" s="115">
        <f t="shared" si="6"/>
        <v>690</v>
      </c>
      <c r="AL59" s="115">
        <f t="shared" si="6"/>
        <v>0</v>
      </c>
      <c r="AM59" s="115">
        <f t="shared" si="6"/>
        <v>0</v>
      </c>
      <c r="AN59" s="115">
        <f t="shared" si="6"/>
        <v>0</v>
      </c>
      <c r="AP59" s="114">
        <f t="shared" si="7"/>
        <v>3.6595067621320608E-2</v>
      </c>
      <c r="AQ59" s="114">
        <f t="shared" si="7"/>
        <v>0</v>
      </c>
      <c r="AR59" s="114">
        <f t="shared" si="7"/>
        <v>0</v>
      </c>
      <c r="AS59" s="114">
        <f t="shared" si="7"/>
        <v>0</v>
      </c>
    </row>
    <row r="60" spans="1:45" ht="16.5" customHeight="1" x14ac:dyDescent="0.3">
      <c r="A60" s="116" t="s">
        <v>280</v>
      </c>
      <c r="B60" s="117"/>
      <c r="C60" s="117"/>
      <c r="D60" s="117"/>
      <c r="E60" s="117"/>
      <c r="F60" s="117"/>
      <c r="G60" s="123" t="s">
        <v>230</v>
      </c>
      <c r="H60" s="123" t="s">
        <v>230</v>
      </c>
      <c r="I60" s="118">
        <v>20452</v>
      </c>
      <c r="J60" s="118">
        <v>21229</v>
      </c>
      <c r="K60" s="118">
        <v>21934</v>
      </c>
      <c r="L60" s="118"/>
      <c r="M60" s="118"/>
      <c r="N60" s="118"/>
      <c r="O60" s="118"/>
      <c r="P60" s="118"/>
      <c r="Q60" s="118"/>
      <c r="R60" s="118"/>
      <c r="S60" s="118"/>
      <c r="T60" s="118"/>
      <c r="U60" s="118"/>
      <c r="V60" s="118"/>
      <c r="W60" s="118"/>
      <c r="X60" s="118"/>
      <c r="Y60" s="118"/>
      <c r="Z60" s="118"/>
      <c r="AA60" s="118"/>
      <c r="AB60" s="118"/>
      <c r="AC60" s="118"/>
      <c r="AE60" s="114">
        <f t="shared" si="5"/>
        <v>0</v>
      </c>
      <c r="AF60" s="114">
        <f t="shared" si="5"/>
        <v>0</v>
      </c>
      <c r="AG60" s="114">
        <f t="shared" si="5"/>
        <v>0.22599144741930849</v>
      </c>
      <c r="AH60" s="114">
        <f t="shared" si="5"/>
        <v>0.22461935647702383</v>
      </c>
      <c r="AI60" s="114">
        <f t="shared" si="5"/>
        <v>0.22016120128077729</v>
      </c>
      <c r="AK60" s="115">
        <f t="shared" si="6"/>
        <v>0</v>
      </c>
      <c r="AL60" s="115">
        <f t="shared" si="6"/>
        <v>0</v>
      </c>
      <c r="AM60" s="115">
        <f t="shared" si="6"/>
        <v>777</v>
      </c>
      <c r="AN60" s="115">
        <f t="shared" si="6"/>
        <v>705</v>
      </c>
      <c r="AP60" s="114">
        <f t="shared" si="7"/>
        <v>0</v>
      </c>
      <c r="AQ60" s="114">
        <f t="shared" si="7"/>
        <v>0</v>
      </c>
      <c r="AR60" s="114">
        <f t="shared" si="7"/>
        <v>3.799139448464698E-2</v>
      </c>
      <c r="AS60" s="114">
        <f t="shared" si="7"/>
        <v>3.3209289179895428E-2</v>
      </c>
    </row>
    <row r="61" spans="1:45" ht="16.5" customHeight="1" x14ac:dyDescent="0.3">
      <c r="A61" s="116" t="s">
        <v>281</v>
      </c>
      <c r="B61" s="117"/>
      <c r="C61" s="117"/>
      <c r="D61" s="117"/>
      <c r="E61" s="117"/>
      <c r="F61" s="117"/>
      <c r="G61" s="118">
        <v>15351</v>
      </c>
      <c r="H61" s="118">
        <v>16116</v>
      </c>
      <c r="I61" s="118">
        <v>18040</v>
      </c>
      <c r="J61" s="118">
        <v>17289</v>
      </c>
      <c r="K61" s="118">
        <v>15106</v>
      </c>
      <c r="L61" s="118"/>
      <c r="M61" s="118"/>
      <c r="N61" s="118"/>
      <c r="O61" s="118"/>
      <c r="P61" s="118"/>
      <c r="Q61" s="118"/>
      <c r="R61" s="118"/>
      <c r="S61" s="118"/>
      <c r="T61" s="118"/>
      <c r="U61" s="118"/>
      <c r="V61" s="118"/>
      <c r="W61" s="118"/>
      <c r="X61" s="118"/>
      <c r="Y61" s="118"/>
      <c r="Z61" s="118"/>
      <c r="AA61" s="118"/>
      <c r="AB61" s="118"/>
      <c r="AC61" s="118"/>
      <c r="AE61" s="114">
        <f t="shared" si="5"/>
        <v>0.18518384481760278</v>
      </c>
      <c r="AF61" s="114">
        <f t="shared" si="5"/>
        <v>0.18848902352019276</v>
      </c>
      <c r="AG61" s="114">
        <f t="shared" si="5"/>
        <v>0.19933921921789191</v>
      </c>
      <c r="AH61" s="114">
        <f t="shared" si="5"/>
        <v>0.1829310873866534</v>
      </c>
      <c r="AI61" s="114">
        <f t="shared" si="5"/>
        <v>0.15162556335130034</v>
      </c>
      <c r="AK61" s="115">
        <f t="shared" si="6"/>
        <v>765</v>
      </c>
      <c r="AL61" s="115">
        <f t="shared" si="6"/>
        <v>1924</v>
      </c>
      <c r="AM61" s="115">
        <f t="shared" si="6"/>
        <v>-751</v>
      </c>
      <c r="AN61" s="115">
        <f t="shared" si="6"/>
        <v>-2183</v>
      </c>
      <c r="AP61" s="114">
        <f t="shared" si="7"/>
        <v>4.9833887043189369E-2</v>
      </c>
      <c r="AQ61" s="114">
        <f t="shared" si="7"/>
        <v>0.11938446264581783</v>
      </c>
      <c r="AR61" s="114">
        <f t="shared" si="7"/>
        <v>-4.1629711751662968E-2</v>
      </c>
      <c r="AS61" s="114">
        <f t="shared" si="7"/>
        <v>-0.12626525536468275</v>
      </c>
    </row>
    <row r="62" spans="1:45" ht="16.5" customHeight="1" x14ac:dyDescent="0.3">
      <c r="A62" s="116" t="s">
        <v>282</v>
      </c>
      <c r="B62" s="117"/>
      <c r="C62" s="117"/>
      <c r="D62" s="117"/>
      <c r="E62" s="117"/>
      <c r="F62" s="117"/>
      <c r="G62" s="123">
        <v>303</v>
      </c>
      <c r="H62" s="118">
        <v>-2404</v>
      </c>
      <c r="I62" s="118">
        <v>-1457</v>
      </c>
      <c r="J62" s="123">
        <v>-412</v>
      </c>
      <c r="K62" s="123">
        <v>124</v>
      </c>
      <c r="L62" s="123"/>
      <c r="M62" s="123"/>
      <c r="N62" s="123"/>
      <c r="O62" s="123"/>
      <c r="P62" s="123"/>
      <c r="Q62" s="123"/>
      <c r="R62" s="123"/>
      <c r="S62" s="123"/>
      <c r="T62" s="123"/>
      <c r="U62" s="123"/>
      <c r="V62" s="123"/>
      <c r="W62" s="123"/>
      <c r="X62" s="123"/>
      <c r="Y62" s="123"/>
      <c r="Z62" s="123"/>
      <c r="AA62" s="123"/>
      <c r="AB62" s="123"/>
      <c r="AC62" s="123"/>
      <c r="AE62" s="114">
        <f t="shared" si="5"/>
        <v>3.6551823972206139E-3</v>
      </c>
      <c r="AF62" s="114">
        <f t="shared" si="5"/>
        <v>-2.811663021485129E-2</v>
      </c>
      <c r="AG62" s="114">
        <f t="shared" si="5"/>
        <v>-1.6099625410225527E-2</v>
      </c>
      <c r="AH62" s="114">
        <f t="shared" si="5"/>
        <v>-4.3592809302620862E-3</v>
      </c>
      <c r="AI62" s="114">
        <f t="shared" si="5"/>
        <v>1.244642516586869E-3</v>
      </c>
      <c r="AK62" s="115">
        <f t="shared" si="6"/>
        <v>-2707</v>
      </c>
      <c r="AL62" s="115">
        <f t="shared" si="6"/>
        <v>947</v>
      </c>
      <c r="AM62" s="115">
        <f t="shared" si="6"/>
        <v>1045</v>
      </c>
      <c r="AN62" s="115">
        <f t="shared" si="6"/>
        <v>536</v>
      </c>
      <c r="AP62" s="114">
        <f t="shared" si="7"/>
        <v>-8.9339933993399345</v>
      </c>
      <c r="AQ62" s="114">
        <f t="shared" si="7"/>
        <v>-0.39392678868552411</v>
      </c>
      <c r="AR62" s="114">
        <f t="shared" si="7"/>
        <v>-0.71722717913520928</v>
      </c>
      <c r="AS62" s="114">
        <f t="shared" si="7"/>
        <v>-1.3009708737864079</v>
      </c>
    </row>
    <row r="63" spans="1:45" ht="16.5" customHeight="1" x14ac:dyDescent="0.3">
      <c r="A63" s="116" t="s">
        <v>283</v>
      </c>
      <c r="B63" s="117"/>
      <c r="C63" s="117"/>
      <c r="D63" s="117"/>
      <c r="E63" s="117"/>
      <c r="F63" s="117"/>
      <c r="G63" s="123" t="s">
        <v>230</v>
      </c>
      <c r="H63" s="123" t="s">
        <v>230</v>
      </c>
      <c r="I63" s="123" t="s">
        <v>230</v>
      </c>
      <c r="J63" s="123" t="s">
        <v>230</v>
      </c>
      <c r="K63" s="123" t="s">
        <v>230</v>
      </c>
      <c r="L63" s="123"/>
      <c r="M63" s="123"/>
      <c r="N63" s="123"/>
      <c r="O63" s="123"/>
      <c r="P63" s="123"/>
      <c r="Q63" s="123"/>
      <c r="R63" s="123"/>
      <c r="S63" s="123"/>
      <c r="T63" s="123"/>
      <c r="U63" s="123"/>
      <c r="V63" s="123"/>
      <c r="W63" s="123"/>
      <c r="X63" s="123"/>
      <c r="Y63" s="123"/>
      <c r="Z63" s="123"/>
      <c r="AA63" s="123"/>
      <c r="AB63" s="123"/>
      <c r="AC63" s="123"/>
      <c r="AE63" s="114">
        <f t="shared" si="5"/>
        <v>0</v>
      </c>
      <c r="AF63" s="114">
        <f t="shared" si="5"/>
        <v>0</v>
      </c>
      <c r="AG63" s="114">
        <f t="shared" si="5"/>
        <v>0</v>
      </c>
      <c r="AH63" s="114">
        <f t="shared" si="5"/>
        <v>0</v>
      </c>
      <c r="AI63" s="114">
        <f t="shared" si="5"/>
        <v>0</v>
      </c>
      <c r="AK63" s="115">
        <f t="shared" si="6"/>
        <v>0</v>
      </c>
      <c r="AL63" s="115">
        <f t="shared" si="6"/>
        <v>0</v>
      </c>
      <c r="AM63" s="115">
        <f t="shared" si="6"/>
        <v>0</v>
      </c>
      <c r="AN63" s="115">
        <f t="shared" si="6"/>
        <v>0</v>
      </c>
      <c r="AP63" s="114">
        <f t="shared" si="7"/>
        <v>0</v>
      </c>
      <c r="AQ63" s="114">
        <f t="shared" si="7"/>
        <v>0</v>
      </c>
      <c r="AR63" s="114">
        <f t="shared" si="7"/>
        <v>0</v>
      </c>
      <c r="AS63" s="114">
        <f t="shared" si="7"/>
        <v>0</v>
      </c>
    </row>
    <row r="64" spans="1:45" ht="16.5" customHeight="1" x14ac:dyDescent="0.3">
      <c r="A64" s="116" t="s">
        <v>284</v>
      </c>
      <c r="B64" s="117"/>
      <c r="C64" s="117"/>
      <c r="D64" s="117"/>
      <c r="E64" s="117"/>
      <c r="F64" s="117"/>
      <c r="G64" s="123">
        <v>303</v>
      </c>
      <c r="H64" s="118">
        <v>-2404</v>
      </c>
      <c r="I64" s="118">
        <v>-1457</v>
      </c>
      <c r="J64" s="123">
        <v>-412</v>
      </c>
      <c r="K64" s="123">
        <v>124</v>
      </c>
      <c r="L64" s="123"/>
      <c r="M64" s="123"/>
      <c r="N64" s="123"/>
      <c r="O64" s="123"/>
      <c r="P64" s="123"/>
      <c r="Q64" s="123"/>
      <c r="R64" s="123"/>
      <c r="S64" s="123"/>
      <c r="T64" s="123"/>
      <c r="U64" s="123"/>
      <c r="V64" s="123"/>
      <c r="W64" s="123"/>
      <c r="X64" s="123"/>
      <c r="Y64" s="123"/>
      <c r="Z64" s="123"/>
      <c r="AA64" s="123"/>
      <c r="AB64" s="123"/>
      <c r="AC64" s="123"/>
      <c r="AE64" s="114">
        <f t="shared" si="5"/>
        <v>3.6551823972206139E-3</v>
      </c>
      <c r="AF64" s="114">
        <f t="shared" si="5"/>
        <v>-2.811663021485129E-2</v>
      </c>
      <c r="AG64" s="114">
        <f t="shared" si="5"/>
        <v>-1.6099625410225527E-2</v>
      </c>
      <c r="AH64" s="114">
        <f t="shared" si="5"/>
        <v>-4.3592809302620862E-3</v>
      </c>
      <c r="AI64" s="114">
        <f t="shared" si="5"/>
        <v>1.244642516586869E-3</v>
      </c>
      <c r="AK64" s="115">
        <f t="shared" si="6"/>
        <v>-2707</v>
      </c>
      <c r="AL64" s="115">
        <f t="shared" si="6"/>
        <v>947</v>
      </c>
      <c r="AM64" s="115">
        <f t="shared" si="6"/>
        <v>1045</v>
      </c>
      <c r="AN64" s="115">
        <f t="shared" si="6"/>
        <v>536</v>
      </c>
      <c r="AP64" s="114">
        <f t="shared" si="7"/>
        <v>-8.9339933993399345</v>
      </c>
      <c r="AQ64" s="114">
        <f t="shared" si="7"/>
        <v>-0.39392678868552411</v>
      </c>
      <c r="AR64" s="114">
        <f t="shared" si="7"/>
        <v>-0.71722717913520928</v>
      </c>
      <c r="AS64" s="114">
        <f t="shared" si="7"/>
        <v>-1.3009708737864079</v>
      </c>
    </row>
    <row r="65" spans="1:45" ht="16.5" customHeight="1" x14ac:dyDescent="0.3">
      <c r="A65" s="116" t="s">
        <v>285</v>
      </c>
      <c r="B65" s="117"/>
      <c r="C65" s="117"/>
      <c r="D65" s="117"/>
      <c r="E65" s="117"/>
      <c r="F65" s="117"/>
      <c r="G65" s="123" t="s">
        <v>230</v>
      </c>
      <c r="H65" s="123" t="s">
        <v>230</v>
      </c>
      <c r="I65" s="123" t="s">
        <v>230</v>
      </c>
      <c r="J65" s="123" t="s">
        <v>230</v>
      </c>
      <c r="K65" s="123" t="s">
        <v>230</v>
      </c>
      <c r="L65" s="123"/>
      <c r="M65" s="123"/>
      <c r="N65" s="123"/>
      <c r="O65" s="123"/>
      <c r="P65" s="123"/>
      <c r="Q65" s="123"/>
      <c r="R65" s="123"/>
      <c r="S65" s="123"/>
      <c r="T65" s="123"/>
      <c r="U65" s="123"/>
      <c r="V65" s="123"/>
      <c r="W65" s="123"/>
      <c r="X65" s="123"/>
      <c r="Y65" s="123"/>
      <c r="Z65" s="123"/>
      <c r="AA65" s="123"/>
      <c r="AB65" s="123"/>
      <c r="AC65" s="123"/>
      <c r="AE65" s="114">
        <f t="shared" si="5"/>
        <v>0</v>
      </c>
      <c r="AF65" s="114">
        <f t="shared" si="5"/>
        <v>0</v>
      </c>
      <c r="AG65" s="114">
        <f t="shared" si="5"/>
        <v>0</v>
      </c>
      <c r="AH65" s="114">
        <f t="shared" si="5"/>
        <v>0</v>
      </c>
      <c r="AI65" s="114">
        <f t="shared" si="5"/>
        <v>0</v>
      </c>
      <c r="AK65" s="115">
        <f t="shared" si="6"/>
        <v>0</v>
      </c>
      <c r="AL65" s="115">
        <f t="shared" si="6"/>
        <v>0</v>
      </c>
      <c r="AM65" s="115">
        <f t="shared" si="6"/>
        <v>0</v>
      </c>
      <c r="AN65" s="115">
        <f t="shared" si="6"/>
        <v>0</v>
      </c>
      <c r="AP65" s="114">
        <f t="shared" si="7"/>
        <v>0</v>
      </c>
      <c r="AQ65" s="114">
        <f t="shared" si="7"/>
        <v>0</v>
      </c>
      <c r="AR65" s="114">
        <f t="shared" si="7"/>
        <v>0</v>
      </c>
      <c r="AS65" s="114">
        <f t="shared" si="7"/>
        <v>0</v>
      </c>
    </row>
    <row r="66" spans="1:45" ht="17.25" customHeight="1" thickBot="1" x14ac:dyDescent="0.35">
      <c r="A66" s="111" t="s">
        <v>286</v>
      </c>
      <c r="B66" s="112"/>
      <c r="C66" s="112"/>
      <c r="D66" s="112"/>
      <c r="E66" s="112"/>
      <c r="F66" s="112"/>
      <c r="G66" s="113">
        <f>SUM(G44,G53)</f>
        <v>82896</v>
      </c>
      <c r="H66" s="113">
        <f>SUM(H44,H53)</f>
        <v>85501</v>
      </c>
      <c r="I66" s="113">
        <f>SUM(I44,I53)</f>
        <v>90499</v>
      </c>
      <c r="J66" s="113">
        <f>SUM(J44,J53)</f>
        <v>94511</v>
      </c>
      <c r="K66" s="113">
        <f>SUM(K44,K53)</f>
        <v>99627</v>
      </c>
      <c r="L66" s="143"/>
      <c r="M66" s="143"/>
      <c r="N66" s="143"/>
      <c r="O66" s="143"/>
      <c r="P66" s="143"/>
      <c r="Q66" s="143"/>
      <c r="R66" s="143"/>
      <c r="S66" s="143"/>
      <c r="T66" s="143"/>
      <c r="U66" s="143"/>
      <c r="V66" s="143"/>
      <c r="W66" s="143"/>
      <c r="X66" s="143"/>
      <c r="Y66" s="143"/>
      <c r="Z66" s="143"/>
      <c r="AA66" s="143"/>
      <c r="AB66" s="143"/>
      <c r="AC66" s="143"/>
      <c r="AE66" s="114">
        <f t="shared" si="5"/>
        <v>1</v>
      </c>
      <c r="AF66" s="114">
        <f t="shared" si="5"/>
        <v>1</v>
      </c>
      <c r="AG66" s="114">
        <f t="shared" si="5"/>
        <v>1</v>
      </c>
      <c r="AH66" s="114">
        <f t="shared" si="5"/>
        <v>1</v>
      </c>
      <c r="AI66" s="114">
        <f t="shared" si="5"/>
        <v>1</v>
      </c>
      <c r="AK66" s="115">
        <f t="shared" si="6"/>
        <v>2605</v>
      </c>
      <c r="AL66" s="115">
        <f t="shared" si="6"/>
        <v>4998</v>
      </c>
      <c r="AM66" s="115">
        <f t="shared" si="6"/>
        <v>4012</v>
      </c>
      <c r="AN66" s="115">
        <f t="shared" si="6"/>
        <v>5116</v>
      </c>
      <c r="AP66" s="114">
        <f t="shared" si="7"/>
        <v>3.142491796950396E-2</v>
      </c>
      <c r="AQ66" s="114">
        <f t="shared" si="7"/>
        <v>5.8455456661325601E-2</v>
      </c>
      <c r="AR66" s="114">
        <f t="shared" si="7"/>
        <v>4.4331981568857114E-2</v>
      </c>
      <c r="AS66" s="114">
        <f t="shared" si="7"/>
        <v>5.4131265143739879E-2</v>
      </c>
    </row>
    <row r="67" spans="1:45" ht="16.5" customHeight="1" x14ac:dyDescent="0.3">
      <c r="B67" s="126"/>
    </row>
    <row r="68" spans="1:45" ht="17.25" customHeight="1" thickBot="1" x14ac:dyDescent="0.35">
      <c r="A68" s="121" t="s">
        <v>287</v>
      </c>
      <c r="B68" s="112"/>
      <c r="C68" s="112"/>
      <c r="D68" s="112"/>
      <c r="E68" s="112"/>
      <c r="F68" s="112"/>
      <c r="G68" s="122">
        <f>SUM(G38,G39,G46,G47)</f>
        <v>21551</v>
      </c>
      <c r="H68" s="122">
        <f>SUM(H38,H39,H46,H47)</f>
        <v>23292</v>
      </c>
      <c r="I68" s="122">
        <f>SUM(I38,I39,I46,I47)</f>
        <v>21295</v>
      </c>
      <c r="J68" s="122">
        <f>SUM(J38,J39,J46,J47)</f>
        <v>21671</v>
      </c>
      <c r="K68" s="122">
        <f>SUM(K38,K39,K46,K47)</f>
        <v>26084</v>
      </c>
      <c r="L68" s="147"/>
      <c r="M68" s="147"/>
      <c r="N68" s="147"/>
      <c r="O68" s="147"/>
      <c r="P68" s="147"/>
      <c r="Q68" s="147"/>
      <c r="R68" s="147"/>
      <c r="S68" s="147"/>
      <c r="T68" s="147"/>
      <c r="U68" s="147"/>
      <c r="V68" s="147"/>
      <c r="W68" s="147"/>
      <c r="X68" s="147"/>
      <c r="Y68" s="147"/>
      <c r="Z68" s="147"/>
      <c r="AA68" s="147"/>
      <c r="AB68" s="147"/>
      <c r="AC68" s="147"/>
      <c r="AE68" s="114">
        <f t="shared" ref="AE68:AI69" si="8">IFERROR(G68/G$17,0)</f>
        <v>0.25997635591584634</v>
      </c>
      <c r="AF68" s="114">
        <f t="shared" si="8"/>
        <v>0.27241786645770227</v>
      </c>
      <c r="AG68" s="114">
        <f t="shared" si="8"/>
        <v>0.23530646747477874</v>
      </c>
      <c r="AH68" s="114">
        <f t="shared" si="8"/>
        <v>0.22929606077599432</v>
      </c>
      <c r="AI68" s="114">
        <f t="shared" si="8"/>
        <v>0.26181657582783785</v>
      </c>
      <c r="AK68" s="115">
        <f t="shared" ref="AK68:AN69" si="9">IFERROR(H68-G68,0)</f>
        <v>1741</v>
      </c>
      <c r="AL68" s="115">
        <f t="shared" si="9"/>
        <v>-1997</v>
      </c>
      <c r="AM68" s="115">
        <f t="shared" si="9"/>
        <v>376</v>
      </c>
      <c r="AN68" s="115">
        <f t="shared" si="9"/>
        <v>4413</v>
      </c>
      <c r="AP68" s="114">
        <f t="shared" ref="AP68:AS69" si="10">IFERROR((H68-G68)/G68,0)</f>
        <v>8.0785114379843162E-2</v>
      </c>
      <c r="AQ68" s="114">
        <f t="shared" si="10"/>
        <v>-8.5737592306371291E-2</v>
      </c>
      <c r="AR68" s="114">
        <f t="shared" si="10"/>
        <v>1.7656726931204507E-2</v>
      </c>
      <c r="AS68" s="114">
        <f t="shared" si="10"/>
        <v>0.20363619583775552</v>
      </c>
    </row>
    <row r="69" spans="1:45" ht="16.5" customHeight="1" x14ac:dyDescent="0.3">
      <c r="A69" s="116" t="s">
        <v>288</v>
      </c>
      <c r="B69" s="117"/>
      <c r="C69" s="117"/>
      <c r="D69" s="117"/>
      <c r="E69" s="117"/>
      <c r="F69" s="117"/>
      <c r="G69" s="120">
        <v>-0.12540000000000001</v>
      </c>
      <c r="H69" s="119">
        <f>IFERROR((H68-G68)/G68,0)</f>
        <v>8.0785114379843162E-2</v>
      </c>
      <c r="I69" s="120">
        <f>IFERROR((I68-H68)/H68,0)</f>
        <v>-8.5737592306371291E-2</v>
      </c>
      <c r="J69" s="119">
        <f>IFERROR((J68-I68)/I68,0)</f>
        <v>1.7656726931204507E-2</v>
      </c>
      <c r="K69" s="119">
        <f>IFERROR((K68-J68)/J68,0)</f>
        <v>0.20363619583775552</v>
      </c>
      <c r="L69" s="119"/>
      <c r="M69" s="119"/>
      <c r="N69" s="119"/>
      <c r="O69" s="119"/>
      <c r="P69" s="119"/>
      <c r="Q69" s="119"/>
      <c r="R69" s="119"/>
      <c r="S69" s="119"/>
      <c r="T69" s="119"/>
      <c r="U69" s="119"/>
      <c r="V69" s="119"/>
      <c r="W69" s="119"/>
      <c r="X69" s="119"/>
      <c r="Y69" s="119"/>
      <c r="Z69" s="119"/>
      <c r="AA69" s="119"/>
      <c r="AB69" s="119"/>
      <c r="AC69" s="119"/>
      <c r="AE69" s="114">
        <f t="shared" si="8"/>
        <v>-1.512738853503185E-6</v>
      </c>
      <c r="AF69" s="114">
        <f t="shared" si="8"/>
        <v>9.4484408813748572E-7</v>
      </c>
      <c r="AG69" s="114">
        <f t="shared" si="8"/>
        <v>-9.4738717893425658E-7</v>
      </c>
      <c r="AH69" s="114">
        <f t="shared" si="8"/>
        <v>1.8682192476224468E-7</v>
      </c>
      <c r="AI69" s="114">
        <f t="shared" si="8"/>
        <v>2.0439860262554882E-6</v>
      </c>
      <c r="AK69" s="115">
        <f t="shared" si="9"/>
        <v>0.20618511437984316</v>
      </c>
      <c r="AL69" s="115">
        <f t="shared" si="9"/>
        <v>-0.16652270668621444</v>
      </c>
      <c r="AM69" s="115">
        <f t="shared" si="9"/>
        <v>0.1033943192375758</v>
      </c>
      <c r="AN69" s="115">
        <f t="shared" si="9"/>
        <v>0.18597946890655101</v>
      </c>
      <c r="AP69" s="114">
        <f t="shared" si="10"/>
        <v>-1.6442194129174095</v>
      </c>
      <c r="AQ69" s="114">
        <f t="shared" si="10"/>
        <v>-2.0613043376189588</v>
      </c>
      <c r="AR69" s="114">
        <f t="shared" si="10"/>
        <v>-1.2059391505666577</v>
      </c>
      <c r="AS69" s="114">
        <f t="shared" si="10"/>
        <v>10.533065931821818</v>
      </c>
    </row>
  </sheetData>
  <mergeCells count="4">
    <mergeCell ref="A1:A2"/>
    <mergeCell ref="AE1:AI1"/>
    <mergeCell ref="AK1:AN1"/>
    <mergeCell ref="AP1:AS1"/>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556BD-9DFA-4029-BC91-D3E955074ACE}">
  <dimension ref="A1:AO48"/>
  <sheetViews>
    <sheetView topLeftCell="A22" zoomScaleNormal="100" workbookViewId="0">
      <selection activeCell="K9" sqref="K9"/>
    </sheetView>
  </sheetViews>
  <sheetFormatPr baseColWidth="10" defaultColWidth="10.5546875" defaultRowHeight="14.4" x14ac:dyDescent="0.3"/>
  <cols>
    <col min="1" max="1" width="48" style="105" customWidth="1"/>
    <col min="2" max="6" width="13" style="105" hidden="1" customWidth="1"/>
    <col min="7" max="25" width="13" style="105" customWidth="1"/>
    <col min="26" max="26" width="10.5546875" style="105" customWidth="1"/>
    <col min="27" max="31" width="12" style="105" customWidth="1"/>
    <col min="32" max="32" width="10.5546875" style="105" customWidth="1"/>
    <col min="33" max="36" width="12.5546875" style="105" customWidth="1"/>
    <col min="37" max="37" width="10.5546875" style="105" customWidth="1"/>
    <col min="38" max="41" width="12.5546875" style="105" customWidth="1"/>
    <col min="42" max="42" width="10.5546875" style="105" customWidth="1"/>
    <col min="43" max="16384" width="10.5546875" style="105"/>
  </cols>
  <sheetData>
    <row r="1" spans="1:41" ht="16.5" customHeight="1" thickBot="1" x14ac:dyDescent="0.35">
      <c r="A1" s="176" t="s">
        <v>289</v>
      </c>
      <c r="B1" s="127"/>
      <c r="C1" s="127"/>
      <c r="D1" s="128"/>
      <c r="E1" s="128"/>
      <c r="F1" s="128"/>
      <c r="G1" s="106">
        <v>2021</v>
      </c>
      <c r="H1" s="106">
        <v>2022</v>
      </c>
      <c r="I1" s="106">
        <v>2023</v>
      </c>
      <c r="J1" s="106">
        <v>2024</v>
      </c>
      <c r="K1" s="106">
        <v>2025</v>
      </c>
      <c r="L1" s="106"/>
      <c r="M1" s="106"/>
      <c r="N1" s="106"/>
      <c r="O1" s="106"/>
      <c r="P1" s="106"/>
      <c r="Q1" s="106"/>
      <c r="R1" s="106"/>
      <c r="S1" s="106"/>
      <c r="T1" s="106"/>
      <c r="U1" s="106"/>
      <c r="V1" s="106"/>
      <c r="W1" s="106"/>
      <c r="X1" s="106"/>
      <c r="Y1" s="106"/>
      <c r="AA1" s="178" t="s">
        <v>290</v>
      </c>
      <c r="AB1" s="179"/>
      <c r="AC1" s="179"/>
      <c r="AD1" s="179"/>
      <c r="AE1" s="179"/>
      <c r="AG1" s="180" t="s">
        <v>221</v>
      </c>
      <c r="AH1" s="179"/>
      <c r="AI1" s="179"/>
      <c r="AJ1" s="179"/>
      <c r="AL1" s="180" t="s">
        <v>222</v>
      </c>
      <c r="AM1" s="179"/>
      <c r="AN1" s="179"/>
      <c r="AO1" s="179"/>
    </row>
    <row r="2" spans="1:41" ht="17.25" customHeight="1" thickBot="1" x14ac:dyDescent="0.45">
      <c r="A2" s="177"/>
      <c r="B2" s="129"/>
      <c r="C2" s="129"/>
      <c r="D2" s="128"/>
      <c r="E2" s="128"/>
      <c r="F2" s="128"/>
      <c r="G2" s="108">
        <v>46295</v>
      </c>
      <c r="H2" s="108">
        <v>46295</v>
      </c>
      <c r="I2" s="108">
        <v>46295</v>
      </c>
      <c r="J2" s="108">
        <v>46295</v>
      </c>
      <c r="K2" s="108">
        <v>46295</v>
      </c>
      <c r="L2" s="140"/>
      <c r="M2" s="140"/>
      <c r="N2" s="140"/>
      <c r="O2" s="140"/>
      <c r="P2" s="140"/>
      <c r="Q2" s="140"/>
      <c r="R2" s="140"/>
      <c r="S2" s="140"/>
      <c r="T2" s="140"/>
      <c r="U2" s="140"/>
      <c r="V2" s="140"/>
      <c r="W2" s="140"/>
      <c r="X2" s="140"/>
      <c r="Y2" s="140"/>
      <c r="AA2" s="110">
        <v>2021</v>
      </c>
      <c r="AB2" s="110">
        <v>2022</v>
      </c>
      <c r="AC2" s="110">
        <v>2023</v>
      </c>
      <c r="AD2" s="110">
        <v>2024</v>
      </c>
      <c r="AE2" s="110">
        <v>2025</v>
      </c>
      <c r="AG2" s="109" t="s">
        <v>94</v>
      </c>
      <c r="AH2" s="109" t="s">
        <v>95</v>
      </c>
      <c r="AI2" s="109" t="s">
        <v>96</v>
      </c>
      <c r="AJ2" s="109" t="s">
        <v>97</v>
      </c>
      <c r="AL2" s="109" t="s">
        <v>94</v>
      </c>
      <c r="AM2" s="109" t="s">
        <v>95</v>
      </c>
      <c r="AN2" s="109" t="s">
        <v>96</v>
      </c>
      <c r="AO2" s="109" t="s">
        <v>97</v>
      </c>
    </row>
    <row r="3" spans="1:41" ht="17.25" customHeight="1" thickBot="1" x14ac:dyDescent="0.35">
      <c r="A3" s="130" t="s">
        <v>76</v>
      </c>
      <c r="B3" s="112"/>
      <c r="C3" s="112"/>
      <c r="D3" s="112"/>
      <c r="E3" s="112"/>
      <c r="F3" s="112"/>
      <c r="G3" s="131">
        <v>24105</v>
      </c>
      <c r="H3" s="131">
        <v>29310</v>
      </c>
      <c r="I3" s="131">
        <v>32653</v>
      </c>
      <c r="J3" s="131">
        <v>35926</v>
      </c>
      <c r="K3" s="131">
        <v>40000</v>
      </c>
      <c r="L3" s="141"/>
      <c r="M3" s="141"/>
      <c r="N3" s="141"/>
      <c r="O3" s="141"/>
      <c r="P3" s="141"/>
      <c r="Q3" s="141"/>
      <c r="R3" s="141"/>
      <c r="S3" s="141"/>
      <c r="T3" s="141"/>
      <c r="U3" s="141"/>
      <c r="V3" s="141"/>
      <c r="W3" s="141"/>
      <c r="X3" s="141"/>
      <c r="Y3" s="141"/>
      <c r="AA3" s="114">
        <f t="shared" ref="AA3:AE43" si="0">IFERROR(G3/G$3,0)</f>
        <v>1</v>
      </c>
      <c r="AB3" s="114">
        <f t="shared" si="0"/>
        <v>1</v>
      </c>
      <c r="AC3" s="114">
        <f t="shared" si="0"/>
        <v>1</v>
      </c>
      <c r="AD3" s="114">
        <f t="shared" si="0"/>
        <v>1</v>
      </c>
      <c r="AE3" s="114">
        <f t="shared" si="0"/>
        <v>1</v>
      </c>
      <c r="AG3" s="132">
        <f t="shared" ref="AG3:AJ43" si="1">IFERROR(H3-G3,0)</f>
        <v>5205</v>
      </c>
      <c r="AH3" s="132">
        <f t="shared" si="1"/>
        <v>3343</v>
      </c>
      <c r="AI3" s="132">
        <f t="shared" si="1"/>
        <v>3273</v>
      </c>
      <c r="AJ3" s="132">
        <f t="shared" si="1"/>
        <v>4074</v>
      </c>
      <c r="AL3" s="114">
        <f t="shared" ref="AL3:AO43" si="2">IFERROR((H3-G3)/G3,0)</f>
        <v>0.21593030491599252</v>
      </c>
      <c r="AM3" s="114">
        <f t="shared" si="2"/>
        <v>0.11405663596042306</v>
      </c>
      <c r="AN3" s="114">
        <f t="shared" si="2"/>
        <v>0.10023581294214927</v>
      </c>
      <c r="AO3" s="114">
        <f t="shared" si="2"/>
        <v>0.11339976618604911</v>
      </c>
    </row>
    <row r="4" spans="1:41" ht="17.25" customHeight="1" thickBot="1" x14ac:dyDescent="0.35">
      <c r="A4" s="130" t="s">
        <v>291</v>
      </c>
      <c r="B4" s="112"/>
      <c r="C4" s="112"/>
      <c r="D4" s="112"/>
      <c r="E4" s="112"/>
      <c r="F4" s="112"/>
      <c r="G4" s="133">
        <v>0.10340000000000001</v>
      </c>
      <c r="H4" s="133">
        <f>IFERROR((H3-G3)/G3,0)</f>
        <v>0.21593030491599252</v>
      </c>
      <c r="I4" s="133">
        <f>IFERROR((I3-H3)/H3,0)</f>
        <v>0.11405663596042306</v>
      </c>
      <c r="J4" s="133">
        <f>IFERROR((J3-I3)/I3,0)</f>
        <v>0.10023581294214927</v>
      </c>
      <c r="K4" s="133">
        <f>IFERROR((K3-J3)/J3,0)</f>
        <v>0.11339976618604911</v>
      </c>
      <c r="L4" s="119"/>
      <c r="M4" s="119"/>
      <c r="N4" s="119"/>
      <c r="O4" s="119"/>
      <c r="P4" s="119"/>
      <c r="Q4" s="119"/>
      <c r="R4" s="119"/>
      <c r="S4" s="119"/>
      <c r="T4" s="119"/>
      <c r="U4" s="119"/>
      <c r="V4" s="119"/>
      <c r="W4" s="119"/>
      <c r="X4" s="119"/>
      <c r="Y4" s="119"/>
      <c r="AA4" s="114">
        <f t="shared" si="0"/>
        <v>4.2895664799834066E-6</v>
      </c>
      <c r="AB4" s="114">
        <f t="shared" si="0"/>
        <v>7.3671206044350911E-6</v>
      </c>
      <c r="AC4" s="114">
        <f t="shared" si="0"/>
        <v>3.4929910256461292E-6</v>
      </c>
      <c r="AD4" s="114">
        <f t="shared" si="0"/>
        <v>2.7900632673314389E-6</v>
      </c>
      <c r="AE4" s="114">
        <f t="shared" si="0"/>
        <v>2.8349941546512274E-6</v>
      </c>
      <c r="AG4" s="132">
        <f t="shared" si="1"/>
        <v>0.11253030491599252</v>
      </c>
      <c r="AH4" s="132">
        <f t="shared" si="1"/>
        <v>-0.10187366895556946</v>
      </c>
      <c r="AI4" s="132">
        <f t="shared" si="1"/>
        <v>-1.3820823018273795E-2</v>
      </c>
      <c r="AJ4" s="132">
        <f t="shared" si="1"/>
        <v>1.3163953243899837E-2</v>
      </c>
      <c r="AL4" s="114">
        <f t="shared" si="2"/>
        <v>1.0883008212378387</v>
      </c>
      <c r="AM4" s="114">
        <f t="shared" si="2"/>
        <v>-0.47178958504783897</v>
      </c>
      <c r="AN4" s="114">
        <f t="shared" si="2"/>
        <v>-0.12117508904146124</v>
      </c>
      <c r="AO4" s="114">
        <f t="shared" si="2"/>
        <v>0.13132983968012873</v>
      </c>
    </row>
    <row r="5" spans="1:41" ht="17.25" customHeight="1" thickBot="1" x14ac:dyDescent="0.35">
      <c r="A5" s="130" t="s">
        <v>292</v>
      </c>
      <c r="B5" s="112"/>
      <c r="C5" s="112"/>
      <c r="D5" s="112"/>
      <c r="E5" s="112"/>
      <c r="F5" s="112"/>
      <c r="G5" s="134">
        <v>730</v>
      </c>
      <c r="H5" s="134">
        <v>743</v>
      </c>
      <c r="I5" s="134">
        <v>736</v>
      </c>
      <c r="J5" s="134">
        <v>778</v>
      </c>
      <c r="K5" s="134">
        <v>894</v>
      </c>
      <c r="L5" s="142"/>
      <c r="M5" s="142"/>
      <c r="N5" s="142"/>
      <c r="O5" s="142"/>
      <c r="P5" s="142"/>
      <c r="Q5" s="142"/>
      <c r="R5" s="142"/>
      <c r="S5" s="142"/>
      <c r="T5" s="142"/>
      <c r="U5" s="142"/>
      <c r="V5" s="142"/>
      <c r="W5" s="142"/>
      <c r="X5" s="142"/>
      <c r="Y5" s="142"/>
      <c r="AA5" s="114">
        <f t="shared" si="0"/>
        <v>3.0284173408006636E-2</v>
      </c>
      <c r="AB5" s="114">
        <f t="shared" si="0"/>
        <v>2.5349709996588195E-2</v>
      </c>
      <c r="AC5" s="114">
        <f t="shared" si="0"/>
        <v>2.2540042262579243E-2</v>
      </c>
      <c r="AD5" s="114">
        <f t="shared" si="0"/>
        <v>2.1655625452318656E-2</v>
      </c>
      <c r="AE5" s="114">
        <f t="shared" si="0"/>
        <v>2.2349999999999998E-2</v>
      </c>
      <c r="AG5" s="132">
        <f t="shared" si="1"/>
        <v>13</v>
      </c>
      <c r="AH5" s="132">
        <f t="shared" si="1"/>
        <v>-7</v>
      </c>
      <c r="AI5" s="132">
        <f t="shared" si="1"/>
        <v>42</v>
      </c>
      <c r="AJ5" s="132">
        <f t="shared" si="1"/>
        <v>116</v>
      </c>
      <c r="AL5" s="114">
        <f t="shared" si="2"/>
        <v>1.7808219178082191E-2</v>
      </c>
      <c r="AM5" s="114">
        <f t="shared" si="2"/>
        <v>-9.4212651413189772E-3</v>
      </c>
      <c r="AN5" s="114">
        <f t="shared" si="2"/>
        <v>5.7065217391304345E-2</v>
      </c>
      <c r="AO5" s="114">
        <f t="shared" si="2"/>
        <v>0.14910025706940874</v>
      </c>
    </row>
    <row r="6" spans="1:41" ht="17.25" customHeight="1" thickBot="1" x14ac:dyDescent="0.35">
      <c r="A6" s="111" t="s">
        <v>293</v>
      </c>
      <c r="B6" s="112"/>
      <c r="C6" s="112"/>
      <c r="D6" s="112"/>
      <c r="E6" s="112"/>
      <c r="F6" s="112"/>
      <c r="G6" s="113">
        <f>IFERROR(G3-G5,0)</f>
        <v>23375</v>
      </c>
      <c r="H6" s="113">
        <f>IFERROR(H3-H5,0)</f>
        <v>28567</v>
      </c>
      <c r="I6" s="113">
        <f>IFERROR(I3-I5,0)</f>
        <v>31917</v>
      </c>
      <c r="J6" s="113">
        <f>IFERROR(J3-J5,0)</f>
        <v>35148</v>
      </c>
      <c r="K6" s="113">
        <f>IFERROR(K3-K5,0)</f>
        <v>39106</v>
      </c>
      <c r="L6" s="143"/>
      <c r="M6" s="143"/>
      <c r="N6" s="143"/>
      <c r="O6" s="143"/>
      <c r="P6" s="143"/>
      <c r="Q6" s="143"/>
      <c r="R6" s="143"/>
      <c r="S6" s="143"/>
      <c r="T6" s="143"/>
      <c r="U6" s="143"/>
      <c r="V6" s="143"/>
      <c r="W6" s="143"/>
      <c r="X6" s="143"/>
      <c r="Y6" s="143"/>
      <c r="AA6" s="114">
        <f t="shared" si="0"/>
        <v>0.9697158265919934</v>
      </c>
      <c r="AB6" s="114">
        <f t="shared" si="0"/>
        <v>0.97465029000341186</v>
      </c>
      <c r="AC6" s="114">
        <f t="shared" si="0"/>
        <v>0.97745995773742078</v>
      </c>
      <c r="AD6" s="114">
        <f t="shared" si="0"/>
        <v>0.97834437454768131</v>
      </c>
      <c r="AE6" s="114">
        <f t="shared" si="0"/>
        <v>0.97765000000000002</v>
      </c>
      <c r="AG6" s="132">
        <f t="shared" si="1"/>
        <v>5192</v>
      </c>
      <c r="AH6" s="132">
        <f t="shared" si="1"/>
        <v>3350</v>
      </c>
      <c r="AI6" s="132">
        <f t="shared" si="1"/>
        <v>3231</v>
      </c>
      <c r="AJ6" s="132">
        <f t="shared" si="1"/>
        <v>3958</v>
      </c>
      <c r="AL6" s="114">
        <f t="shared" si="2"/>
        <v>0.22211764705882353</v>
      </c>
      <c r="AM6" s="114">
        <f t="shared" si="2"/>
        <v>0.11726817656736795</v>
      </c>
      <c r="AN6" s="114">
        <f t="shared" si="2"/>
        <v>0.10123131873296362</v>
      </c>
      <c r="AO6" s="114">
        <f t="shared" si="2"/>
        <v>0.11260953681575055</v>
      </c>
    </row>
    <row r="7" spans="1:41" ht="17.25" customHeight="1" thickBot="1" x14ac:dyDescent="0.35">
      <c r="A7" s="130" t="s">
        <v>294</v>
      </c>
      <c r="B7" s="112"/>
      <c r="C7" s="112"/>
      <c r="D7" s="112"/>
      <c r="E7" s="112"/>
      <c r="F7" s="112"/>
      <c r="G7" s="133">
        <v>0.10680000000000001</v>
      </c>
      <c r="H7" s="133">
        <f>IFERROR((H6-G6)/G6,0)</f>
        <v>0.22211764705882353</v>
      </c>
      <c r="I7" s="133">
        <f>IFERROR((I6-H6)/H6,0)</f>
        <v>0.11726817656736795</v>
      </c>
      <c r="J7" s="133">
        <f>IFERROR((J6-I6)/I6,0)</f>
        <v>0.10123131873296362</v>
      </c>
      <c r="K7" s="133">
        <f>IFERROR((K6-J6)/J6,0)</f>
        <v>0.11260953681575055</v>
      </c>
      <c r="L7" s="119"/>
      <c r="M7" s="119"/>
      <c r="N7" s="119"/>
      <c r="O7" s="119"/>
      <c r="P7" s="119"/>
      <c r="Q7" s="119"/>
      <c r="R7" s="119"/>
      <c r="S7" s="119"/>
      <c r="T7" s="119"/>
      <c r="U7" s="119"/>
      <c r="V7" s="119"/>
      <c r="W7" s="119"/>
      <c r="X7" s="119"/>
      <c r="Y7" s="119"/>
      <c r="AA7" s="114">
        <f t="shared" si="0"/>
        <v>4.4306160547604234E-6</v>
      </c>
      <c r="AB7" s="114">
        <f t="shared" si="0"/>
        <v>7.5782206434262551E-6</v>
      </c>
      <c r="AC7" s="114">
        <f t="shared" si="0"/>
        <v>3.5913446411468453E-6</v>
      </c>
      <c r="AD7" s="114">
        <f t="shared" si="0"/>
        <v>2.8177731651996778E-6</v>
      </c>
      <c r="AE7" s="114">
        <f t="shared" si="0"/>
        <v>2.8152384203937638E-6</v>
      </c>
      <c r="AG7" s="132">
        <f t="shared" si="1"/>
        <v>0.11531764705882352</v>
      </c>
      <c r="AH7" s="132">
        <f t="shared" si="1"/>
        <v>-0.10484947049145558</v>
      </c>
      <c r="AI7" s="132">
        <f t="shared" si="1"/>
        <v>-1.6036857834404325E-2</v>
      </c>
      <c r="AJ7" s="132">
        <f t="shared" si="1"/>
        <v>1.1378218082786926E-2</v>
      </c>
      <c r="AL7" s="114">
        <f t="shared" si="2"/>
        <v>1.0797532496144524</v>
      </c>
      <c r="AM7" s="114">
        <f t="shared" si="2"/>
        <v>-0.47204475592021844</v>
      </c>
      <c r="AN7" s="114">
        <f t="shared" si="2"/>
        <v>-0.13675370679266519</v>
      </c>
      <c r="AO7" s="114">
        <f t="shared" si="2"/>
        <v>0.11239820072680604</v>
      </c>
    </row>
    <row r="8" spans="1:41" ht="17.25" customHeight="1" thickBot="1" x14ac:dyDescent="0.35">
      <c r="A8" s="130" t="s">
        <v>295</v>
      </c>
      <c r="B8" s="112"/>
      <c r="C8" s="112"/>
      <c r="D8" s="112"/>
      <c r="E8" s="112"/>
      <c r="F8" s="112"/>
      <c r="G8" s="135">
        <f>IFERROR(G6/G3,0)</f>
        <v>0.9697158265919934</v>
      </c>
      <c r="H8" s="135">
        <f>IFERROR(H6/H3,0)</f>
        <v>0.97465029000341186</v>
      </c>
      <c r="I8" s="135">
        <f>IFERROR(I6/I3,0)</f>
        <v>0.97745995773742078</v>
      </c>
      <c r="J8" s="135">
        <f>IFERROR(J6/J3,0)</f>
        <v>0.97834437454768131</v>
      </c>
      <c r="K8" s="135">
        <f>IFERROR(K6/K3,0)</f>
        <v>0.97765000000000002</v>
      </c>
      <c r="L8" s="144"/>
      <c r="M8" s="144"/>
      <c r="N8" s="144"/>
      <c r="O8" s="144"/>
      <c r="P8" s="144"/>
      <c r="Q8" s="144"/>
      <c r="R8" s="144"/>
      <c r="S8" s="144"/>
      <c r="T8" s="144"/>
      <c r="U8" s="144"/>
      <c r="V8" s="144"/>
      <c r="W8" s="144"/>
      <c r="X8" s="144"/>
      <c r="Y8" s="144"/>
      <c r="AA8" s="114">
        <f t="shared" si="0"/>
        <v>4.0228824998630719E-5</v>
      </c>
      <c r="AB8" s="114">
        <f t="shared" si="0"/>
        <v>3.3253165813831864E-5</v>
      </c>
      <c r="AC8" s="114">
        <f t="shared" si="0"/>
        <v>2.993476733339726E-5</v>
      </c>
      <c r="AD8" s="114">
        <f t="shared" si="0"/>
        <v>2.7232209946770621E-5</v>
      </c>
      <c r="AE8" s="114">
        <f t="shared" si="0"/>
        <v>2.4441249999999999E-5</v>
      </c>
      <c r="AG8" s="132">
        <f t="shared" si="1"/>
        <v>4.9344634114184549E-3</v>
      </c>
      <c r="AH8" s="132">
        <f t="shared" si="1"/>
        <v>2.8096677340089249E-3</v>
      </c>
      <c r="AI8" s="132">
        <f t="shared" si="1"/>
        <v>8.8441681026052432E-4</v>
      </c>
      <c r="AJ8" s="132">
        <f t="shared" si="1"/>
        <v>-6.9437454768128681E-4</v>
      </c>
      <c r="AL8" s="114">
        <f t="shared" si="2"/>
        <v>5.0885664398820042E-3</v>
      </c>
      <c r="AM8" s="114">
        <f t="shared" si="2"/>
        <v>2.8827444703259562E-3</v>
      </c>
      <c r="AN8" s="114">
        <f t="shared" si="2"/>
        <v>9.0481129509154684E-4</v>
      </c>
      <c r="AO8" s="114">
        <f t="shared" si="2"/>
        <v>-7.0974450893359253E-4</v>
      </c>
    </row>
    <row r="9" spans="1:41" ht="17.25" customHeight="1" thickBot="1" x14ac:dyDescent="0.35">
      <c r="A9" s="130" t="s">
        <v>296</v>
      </c>
      <c r="B9" s="112"/>
      <c r="C9" s="112"/>
      <c r="D9" s="112"/>
      <c r="E9" s="112"/>
      <c r="F9" s="112"/>
      <c r="G9" s="131">
        <v>7568</v>
      </c>
      <c r="H9" s="131">
        <v>8886</v>
      </c>
      <c r="I9" s="131">
        <v>9990</v>
      </c>
      <c r="J9" s="131">
        <v>11152</v>
      </c>
      <c r="K9" s="131">
        <v>12298</v>
      </c>
      <c r="L9" s="141"/>
      <c r="M9" s="141"/>
      <c r="N9" s="141"/>
      <c r="O9" s="141"/>
      <c r="P9" s="141"/>
      <c r="Q9" s="141"/>
      <c r="R9" s="141"/>
      <c r="S9" s="141"/>
      <c r="T9" s="141"/>
      <c r="U9" s="141"/>
      <c r="V9" s="141"/>
      <c r="W9" s="141"/>
      <c r="X9" s="141"/>
      <c r="Y9" s="141"/>
      <c r="AA9" s="114">
        <f t="shared" si="0"/>
        <v>0.3139597593860195</v>
      </c>
      <c r="AB9" s="114">
        <f t="shared" si="0"/>
        <v>0.30317297850562946</v>
      </c>
      <c r="AC9" s="114">
        <f t="shared" si="0"/>
        <v>0.30594432364560681</v>
      </c>
      <c r="AD9" s="114">
        <f t="shared" si="0"/>
        <v>0.31041585481267048</v>
      </c>
      <c r="AE9" s="114">
        <f t="shared" si="0"/>
        <v>0.30745</v>
      </c>
      <c r="AG9" s="132">
        <f t="shared" si="1"/>
        <v>1318</v>
      </c>
      <c r="AH9" s="132">
        <f t="shared" si="1"/>
        <v>1104</v>
      </c>
      <c r="AI9" s="132">
        <f t="shared" si="1"/>
        <v>1162</v>
      </c>
      <c r="AJ9" s="132">
        <f t="shared" si="1"/>
        <v>1146</v>
      </c>
      <c r="AL9" s="114">
        <f t="shared" si="2"/>
        <v>0.17415433403805497</v>
      </c>
      <c r="AM9" s="114">
        <f t="shared" si="2"/>
        <v>0.12424037812288993</v>
      </c>
      <c r="AN9" s="114">
        <f t="shared" si="2"/>
        <v>0.11631631631631631</v>
      </c>
      <c r="AO9" s="114">
        <f t="shared" si="2"/>
        <v>0.10276183644189384</v>
      </c>
    </row>
    <row r="10" spans="1:41" ht="16.5" customHeight="1" x14ac:dyDescent="0.3">
      <c r="A10" s="116" t="s">
        <v>297</v>
      </c>
      <c r="B10" s="117"/>
      <c r="C10" s="117"/>
      <c r="D10" s="117"/>
      <c r="E10" s="117"/>
      <c r="F10" s="117"/>
      <c r="G10" s="119">
        <v>8.2100000000000006E-2</v>
      </c>
      <c r="H10" s="119">
        <f>IFERROR((H9-G9)/G9,0)</f>
        <v>0.17415433403805497</v>
      </c>
      <c r="I10" s="119">
        <f>IFERROR((I9-H9)/H9,0)</f>
        <v>0.12424037812288993</v>
      </c>
      <c r="J10" s="119">
        <f>IFERROR((J9-I9)/I9,0)</f>
        <v>0.11631631631631631</v>
      </c>
      <c r="K10" s="119">
        <f>IFERROR((K9-J9)/J9,0)</f>
        <v>0.10276183644189384</v>
      </c>
      <c r="L10" s="119"/>
      <c r="M10" s="119"/>
      <c r="N10" s="119"/>
      <c r="O10" s="119"/>
      <c r="P10" s="119"/>
      <c r="Q10" s="119"/>
      <c r="R10" s="119"/>
      <c r="S10" s="119"/>
      <c r="T10" s="119"/>
      <c r="U10" s="119"/>
      <c r="V10" s="119"/>
      <c r="W10" s="119"/>
      <c r="X10" s="119"/>
      <c r="Y10" s="119"/>
      <c r="AA10" s="114">
        <f t="shared" si="0"/>
        <v>3.4059323791744453E-6</v>
      </c>
      <c r="AB10" s="114">
        <f t="shared" si="0"/>
        <v>5.9418060060748883E-6</v>
      </c>
      <c r="AC10" s="114">
        <f t="shared" si="0"/>
        <v>3.804868714142343E-6</v>
      </c>
      <c r="AD10" s="114">
        <f t="shared" si="0"/>
        <v>3.2376639847552279E-6</v>
      </c>
      <c r="AE10" s="114">
        <f t="shared" si="0"/>
        <v>2.5690459110473458E-6</v>
      </c>
      <c r="AG10" s="132">
        <f t="shared" si="1"/>
        <v>9.2054334038054964E-2</v>
      </c>
      <c r="AH10" s="132">
        <f t="shared" si="1"/>
        <v>-4.9913955915165037E-2</v>
      </c>
      <c r="AI10" s="132">
        <f t="shared" si="1"/>
        <v>-7.9240618065736235E-3</v>
      </c>
      <c r="AJ10" s="132">
        <f t="shared" si="1"/>
        <v>-1.3554479874422473E-2</v>
      </c>
      <c r="AL10" s="114">
        <f t="shared" si="2"/>
        <v>1.1212464560055415</v>
      </c>
      <c r="AM10" s="114">
        <f t="shared" si="2"/>
        <v>-0.28660760118814038</v>
      </c>
      <c r="AN10" s="114">
        <f t="shared" si="2"/>
        <v>-6.3780084432258355E-2</v>
      </c>
      <c r="AO10" s="114">
        <f t="shared" si="2"/>
        <v>-0.11653119960884725</v>
      </c>
    </row>
    <row r="11" spans="1:41" ht="16.5" customHeight="1" x14ac:dyDescent="0.3">
      <c r="A11" s="116" t="s">
        <v>298</v>
      </c>
      <c r="B11" s="117"/>
      <c r="C11" s="117"/>
      <c r="D11" s="117"/>
      <c r="E11" s="117"/>
      <c r="F11" s="117"/>
      <c r="G11" s="123" t="s">
        <v>230</v>
      </c>
      <c r="H11" s="123" t="s">
        <v>230</v>
      </c>
      <c r="I11" s="123" t="s">
        <v>230</v>
      </c>
      <c r="J11" s="123" t="s">
        <v>230</v>
      </c>
      <c r="K11" s="123" t="s">
        <v>230</v>
      </c>
      <c r="L11" s="123"/>
      <c r="M11" s="123"/>
      <c r="N11" s="123"/>
      <c r="O11" s="123"/>
      <c r="P11" s="123"/>
      <c r="Q11" s="123"/>
      <c r="R11" s="123"/>
      <c r="S11" s="123"/>
      <c r="T11" s="123"/>
      <c r="U11" s="123"/>
      <c r="V11" s="123"/>
      <c r="W11" s="123"/>
      <c r="X11" s="123"/>
      <c r="Y11" s="123"/>
      <c r="AA11" s="114">
        <f t="shared" si="0"/>
        <v>0</v>
      </c>
      <c r="AB11" s="114">
        <f t="shared" si="0"/>
        <v>0</v>
      </c>
      <c r="AC11" s="114">
        <f t="shared" si="0"/>
        <v>0</v>
      </c>
      <c r="AD11" s="114">
        <f t="shared" si="0"/>
        <v>0</v>
      </c>
      <c r="AE11" s="114">
        <f t="shared" si="0"/>
        <v>0</v>
      </c>
      <c r="AG11" s="132">
        <f t="shared" si="1"/>
        <v>0</v>
      </c>
      <c r="AH11" s="132">
        <f t="shared" si="1"/>
        <v>0</v>
      </c>
      <c r="AI11" s="132">
        <f t="shared" si="1"/>
        <v>0</v>
      </c>
      <c r="AJ11" s="132">
        <f t="shared" si="1"/>
        <v>0</v>
      </c>
      <c r="AL11" s="114">
        <f t="shared" si="2"/>
        <v>0</v>
      </c>
      <c r="AM11" s="114">
        <f t="shared" si="2"/>
        <v>0</v>
      </c>
      <c r="AN11" s="114">
        <f t="shared" si="2"/>
        <v>0</v>
      </c>
      <c r="AO11" s="114">
        <f t="shared" si="2"/>
        <v>0</v>
      </c>
    </row>
    <row r="12" spans="1:41" ht="16.5" customHeight="1" x14ac:dyDescent="0.3">
      <c r="A12" s="116" t="s">
        <v>299</v>
      </c>
      <c r="B12" s="117"/>
      <c r="C12" s="117"/>
      <c r="D12" s="117"/>
      <c r="E12" s="117"/>
      <c r="F12" s="117"/>
      <c r="G12" s="118">
        <v>6612</v>
      </c>
      <c r="H12" s="118">
        <v>8025</v>
      </c>
      <c r="I12" s="118">
        <v>9047</v>
      </c>
      <c r="J12" s="118">
        <v>10118</v>
      </c>
      <c r="K12" s="118">
        <v>11078</v>
      </c>
      <c r="L12" s="118"/>
      <c r="M12" s="118"/>
      <c r="N12" s="118"/>
      <c r="O12" s="118"/>
      <c r="P12" s="118"/>
      <c r="Q12" s="118"/>
      <c r="R12" s="118"/>
      <c r="S12" s="118"/>
      <c r="T12" s="118"/>
      <c r="U12" s="118"/>
      <c r="V12" s="118"/>
      <c r="W12" s="118"/>
      <c r="X12" s="118"/>
      <c r="Y12" s="118"/>
      <c r="AA12" s="114">
        <f t="shared" si="0"/>
        <v>0.27429993777224643</v>
      </c>
      <c r="AB12" s="114">
        <f t="shared" si="0"/>
        <v>0.27379733879222107</v>
      </c>
      <c r="AC12" s="114">
        <f t="shared" si="0"/>
        <v>0.27706489449667721</v>
      </c>
      <c r="AD12" s="114">
        <f t="shared" si="0"/>
        <v>0.28163447085676113</v>
      </c>
      <c r="AE12" s="114">
        <f t="shared" si="0"/>
        <v>0.27694999999999997</v>
      </c>
      <c r="AG12" s="132">
        <f t="shared" si="1"/>
        <v>1413</v>
      </c>
      <c r="AH12" s="132">
        <f t="shared" si="1"/>
        <v>1022</v>
      </c>
      <c r="AI12" s="132">
        <f t="shared" si="1"/>
        <v>1071</v>
      </c>
      <c r="AJ12" s="132">
        <f t="shared" si="1"/>
        <v>960</v>
      </c>
      <c r="AL12" s="114">
        <f t="shared" si="2"/>
        <v>0.21370235934664247</v>
      </c>
      <c r="AM12" s="114">
        <f t="shared" si="2"/>
        <v>0.12735202492211839</v>
      </c>
      <c r="AN12" s="114">
        <f t="shared" si="2"/>
        <v>0.11838178401680115</v>
      </c>
      <c r="AO12" s="114">
        <f t="shared" si="2"/>
        <v>9.4880411148448307E-2</v>
      </c>
    </row>
    <row r="13" spans="1:41" ht="16.5" customHeight="1" x14ac:dyDescent="0.3">
      <c r="A13" s="116" t="s">
        <v>300</v>
      </c>
      <c r="B13" s="117"/>
      <c r="C13" s="117"/>
      <c r="D13" s="117"/>
      <c r="E13" s="117"/>
      <c r="F13" s="117"/>
      <c r="G13" s="123">
        <v>152</v>
      </c>
      <c r="H13" s="123" t="s">
        <v>230</v>
      </c>
      <c r="I13" s="123" t="s">
        <v>230</v>
      </c>
      <c r="J13" s="123" t="s">
        <v>230</v>
      </c>
      <c r="K13" s="123" t="s">
        <v>230</v>
      </c>
      <c r="L13" s="123"/>
      <c r="M13" s="123"/>
      <c r="N13" s="123"/>
      <c r="O13" s="123"/>
      <c r="P13" s="123"/>
      <c r="Q13" s="123"/>
      <c r="R13" s="123"/>
      <c r="S13" s="123"/>
      <c r="T13" s="123"/>
      <c r="U13" s="123"/>
      <c r="V13" s="123"/>
      <c r="W13" s="123"/>
      <c r="X13" s="123"/>
      <c r="Y13" s="123"/>
      <c r="AA13" s="114">
        <f t="shared" si="0"/>
        <v>6.305745695913711E-3</v>
      </c>
      <c r="AB13" s="114">
        <f t="shared" si="0"/>
        <v>0</v>
      </c>
      <c r="AC13" s="114">
        <f t="shared" si="0"/>
        <v>0</v>
      </c>
      <c r="AD13" s="114">
        <f t="shared" si="0"/>
        <v>0</v>
      </c>
      <c r="AE13" s="114">
        <f t="shared" si="0"/>
        <v>0</v>
      </c>
      <c r="AG13" s="132">
        <f t="shared" si="1"/>
        <v>0</v>
      </c>
      <c r="AH13" s="132">
        <f t="shared" si="1"/>
        <v>0</v>
      </c>
      <c r="AI13" s="132">
        <f t="shared" si="1"/>
        <v>0</v>
      </c>
      <c r="AJ13" s="132">
        <f t="shared" si="1"/>
        <v>0</v>
      </c>
      <c r="AL13" s="114">
        <f t="shared" si="2"/>
        <v>0</v>
      </c>
      <c r="AM13" s="114">
        <f t="shared" si="2"/>
        <v>0</v>
      </c>
      <c r="AN13" s="114">
        <f t="shared" si="2"/>
        <v>0</v>
      </c>
      <c r="AO13" s="114">
        <f t="shared" si="2"/>
        <v>0</v>
      </c>
    </row>
    <row r="14" spans="1:41" ht="17.25" customHeight="1" thickBot="1" x14ac:dyDescent="0.35">
      <c r="A14" s="111" t="s">
        <v>301</v>
      </c>
      <c r="B14" s="112"/>
      <c r="C14" s="112"/>
      <c r="D14" s="112"/>
      <c r="E14" s="112"/>
      <c r="F14" s="112"/>
      <c r="G14" s="113">
        <f>IFERROR(G6-G9,0)</f>
        <v>15807</v>
      </c>
      <c r="H14" s="113">
        <f>IFERROR(H6-H9,0)</f>
        <v>19681</v>
      </c>
      <c r="I14" s="113">
        <f>IFERROR(I6-I9,0)</f>
        <v>21927</v>
      </c>
      <c r="J14" s="113">
        <f>IFERROR(J6-J9,0)</f>
        <v>23996</v>
      </c>
      <c r="K14" s="113">
        <f>IFERROR(K6-K9,0)</f>
        <v>26808</v>
      </c>
      <c r="L14" s="143"/>
      <c r="M14" s="143"/>
      <c r="N14" s="143"/>
      <c r="O14" s="143"/>
      <c r="P14" s="143"/>
      <c r="Q14" s="143"/>
      <c r="R14" s="143"/>
      <c r="S14" s="143"/>
      <c r="T14" s="143"/>
      <c r="U14" s="143"/>
      <c r="V14" s="143"/>
      <c r="W14" s="143"/>
      <c r="X14" s="143"/>
      <c r="Y14" s="143"/>
      <c r="AA14" s="114">
        <f t="shared" si="0"/>
        <v>0.6557560672059739</v>
      </c>
      <c r="AB14" s="114">
        <f t="shared" si="0"/>
        <v>0.67147731149778234</v>
      </c>
      <c r="AC14" s="114">
        <f t="shared" si="0"/>
        <v>0.67151563409181392</v>
      </c>
      <c r="AD14" s="114">
        <f t="shared" si="0"/>
        <v>0.66792851973501088</v>
      </c>
      <c r="AE14" s="114">
        <f t="shared" si="0"/>
        <v>0.67020000000000002</v>
      </c>
      <c r="AG14" s="132">
        <f t="shared" si="1"/>
        <v>3874</v>
      </c>
      <c r="AH14" s="132">
        <f t="shared" si="1"/>
        <v>2246</v>
      </c>
      <c r="AI14" s="132">
        <f t="shared" si="1"/>
        <v>2069</v>
      </c>
      <c r="AJ14" s="132">
        <f t="shared" si="1"/>
        <v>2812</v>
      </c>
      <c r="AL14" s="114">
        <f t="shared" si="2"/>
        <v>0.24508129309799456</v>
      </c>
      <c r="AM14" s="114">
        <f t="shared" si="2"/>
        <v>0.11412021746862457</v>
      </c>
      <c r="AN14" s="114">
        <f t="shared" si="2"/>
        <v>9.4358553381675564E-2</v>
      </c>
      <c r="AO14" s="114">
        <f t="shared" si="2"/>
        <v>0.11718619769961661</v>
      </c>
    </row>
    <row r="15" spans="1:41" ht="17.25" customHeight="1" thickBot="1" x14ac:dyDescent="0.35">
      <c r="A15" s="130" t="s">
        <v>302</v>
      </c>
      <c r="B15" s="112"/>
      <c r="C15" s="112"/>
      <c r="D15" s="112"/>
      <c r="E15" s="112"/>
      <c r="F15" s="112"/>
      <c r="G15" s="133">
        <v>0.1191</v>
      </c>
      <c r="H15" s="133">
        <f>IFERROR((H14-G14)/G14,0)</f>
        <v>0.24508129309799456</v>
      </c>
      <c r="I15" s="133">
        <f>IFERROR((I14-H14)/H14,0)</f>
        <v>0.11412021746862457</v>
      </c>
      <c r="J15" s="133">
        <f>IFERROR((J14-I14)/I14,0)</f>
        <v>9.4358553381675564E-2</v>
      </c>
      <c r="K15" s="133">
        <f>IFERROR((K14-J14)/J14,0)</f>
        <v>0.11718619769961661</v>
      </c>
      <c r="L15" s="119"/>
      <c r="M15" s="119"/>
      <c r="N15" s="119"/>
      <c r="O15" s="119"/>
      <c r="P15" s="119"/>
      <c r="Q15" s="119"/>
      <c r="R15" s="119"/>
      <c r="S15" s="119"/>
      <c r="T15" s="119"/>
      <c r="U15" s="119"/>
      <c r="V15" s="119"/>
      <c r="W15" s="119"/>
      <c r="X15" s="119"/>
      <c r="Y15" s="119"/>
      <c r="AA15" s="114">
        <f t="shared" si="0"/>
        <v>4.9408836341008089E-6</v>
      </c>
      <c r="AB15" s="114">
        <f t="shared" si="0"/>
        <v>8.3616954315248919E-6</v>
      </c>
      <c r="AC15" s="114">
        <f t="shared" si="0"/>
        <v>3.4949382129857768E-6</v>
      </c>
      <c r="AD15" s="114">
        <f t="shared" si="0"/>
        <v>2.6264697818202851E-6</v>
      </c>
      <c r="AE15" s="114">
        <f t="shared" si="0"/>
        <v>2.929654942490415E-6</v>
      </c>
      <c r="AG15" s="132">
        <f t="shared" si="1"/>
        <v>0.12598129309799455</v>
      </c>
      <c r="AH15" s="132">
        <f t="shared" si="1"/>
        <v>-0.13096107562936998</v>
      </c>
      <c r="AI15" s="132">
        <f t="shared" si="1"/>
        <v>-1.9761664086949002E-2</v>
      </c>
      <c r="AJ15" s="132">
        <f t="shared" si="1"/>
        <v>2.2827644317941043E-2</v>
      </c>
      <c r="AL15" s="114">
        <f t="shared" si="2"/>
        <v>1.0577774399495765</v>
      </c>
      <c r="AM15" s="114">
        <f t="shared" si="2"/>
        <v>-0.53435769810878975</v>
      </c>
      <c r="AN15" s="114">
        <f t="shared" si="2"/>
        <v>-0.17316532096849657</v>
      </c>
      <c r="AO15" s="114">
        <f t="shared" si="2"/>
        <v>0.24192448378902523</v>
      </c>
    </row>
    <row r="16" spans="1:41" ht="17.25" customHeight="1" thickBot="1" x14ac:dyDescent="0.35">
      <c r="A16" s="130" t="s">
        <v>303</v>
      </c>
      <c r="B16" s="112"/>
      <c r="C16" s="112"/>
      <c r="D16" s="112"/>
      <c r="E16" s="112"/>
      <c r="F16" s="112"/>
      <c r="G16" s="135">
        <f>IFERROR(G14/G3,0)</f>
        <v>0.6557560672059739</v>
      </c>
      <c r="H16" s="135">
        <f>IFERROR(H14/H3,0)</f>
        <v>0.67147731149778234</v>
      </c>
      <c r="I16" s="135">
        <f>IFERROR(I14/I3,0)</f>
        <v>0.67151563409181392</v>
      </c>
      <c r="J16" s="135">
        <f>IFERROR(J14/J3,0)</f>
        <v>0.66792851973501088</v>
      </c>
      <c r="K16" s="135">
        <f>IFERROR(K14/K3,0)</f>
        <v>0.67020000000000002</v>
      </c>
      <c r="L16" s="144"/>
      <c r="M16" s="144"/>
      <c r="N16" s="144"/>
      <c r="O16" s="144"/>
      <c r="P16" s="144"/>
      <c r="Q16" s="144"/>
      <c r="R16" s="144"/>
      <c r="S16" s="144"/>
      <c r="T16" s="144"/>
      <c r="U16" s="144"/>
      <c r="V16" s="144"/>
      <c r="W16" s="144"/>
      <c r="X16" s="144"/>
      <c r="Y16" s="144"/>
      <c r="AA16" s="114">
        <f t="shared" si="0"/>
        <v>2.7204151304956397E-5</v>
      </c>
      <c r="AB16" s="114">
        <f t="shared" si="0"/>
        <v>2.2909495445164868E-5</v>
      </c>
      <c r="AC16" s="114">
        <f t="shared" si="0"/>
        <v>2.0565204853820902E-5</v>
      </c>
      <c r="AD16" s="114">
        <f t="shared" si="0"/>
        <v>1.8591786442548876E-5</v>
      </c>
      <c r="AE16" s="114">
        <f t="shared" si="0"/>
        <v>1.6755000000000001E-5</v>
      </c>
      <c r="AG16" s="132">
        <f t="shared" si="1"/>
        <v>1.5721244291808434E-2</v>
      </c>
      <c r="AH16" s="132">
        <f t="shared" si="1"/>
        <v>3.8322594031581225E-5</v>
      </c>
      <c r="AI16" s="132">
        <f t="shared" si="1"/>
        <v>-3.5871143568030339E-3</v>
      </c>
      <c r="AJ16" s="132">
        <f t="shared" si="1"/>
        <v>2.2714802649891341E-3</v>
      </c>
      <c r="AL16" s="114">
        <f t="shared" si="2"/>
        <v>2.3974226206999575E-2</v>
      </c>
      <c r="AM16" s="114">
        <f t="shared" si="2"/>
        <v>5.7072060925036621E-5</v>
      </c>
      <c r="AN16" s="114">
        <f t="shared" si="2"/>
        <v>-5.3418180823956518E-3</v>
      </c>
      <c r="AO16" s="114">
        <f t="shared" si="2"/>
        <v>3.4007834639106361E-3</v>
      </c>
    </row>
    <row r="17" spans="1:41" ht="17.25" customHeight="1" thickBot="1" x14ac:dyDescent="0.35">
      <c r="A17" s="130" t="s">
        <v>304</v>
      </c>
      <c r="B17" s="112"/>
      <c r="C17" s="112"/>
      <c r="D17" s="112"/>
      <c r="E17" s="112"/>
      <c r="F17" s="112"/>
      <c r="G17" s="134">
        <f>IFERROR(SUM(G19,G20),0)</f>
        <v>-513</v>
      </c>
      <c r="H17" s="134">
        <f>IFERROR(SUM(H19,H20),0)</f>
        <v>-469</v>
      </c>
      <c r="I17" s="134">
        <f>IFERROR(SUM(I19,I20),0)</f>
        <v>101</v>
      </c>
      <c r="J17" s="134">
        <f>IFERROR(SUM(J19,J20),0)</f>
        <v>351</v>
      </c>
      <c r="K17" s="134">
        <f>IFERROR(SUM(K19,K20),0)</f>
        <v>202</v>
      </c>
      <c r="L17" s="142"/>
      <c r="M17" s="142"/>
      <c r="N17" s="142"/>
      <c r="O17" s="142"/>
      <c r="P17" s="142"/>
      <c r="Q17" s="142"/>
      <c r="R17" s="142"/>
      <c r="S17" s="142"/>
      <c r="T17" s="142"/>
      <c r="U17" s="142"/>
      <c r="V17" s="142"/>
      <c r="W17" s="142"/>
      <c r="X17" s="142"/>
      <c r="Y17" s="142"/>
      <c r="AA17" s="114">
        <f t="shared" si="0"/>
        <v>-2.1281891723708774E-2</v>
      </c>
      <c r="AB17" s="114">
        <f t="shared" si="0"/>
        <v>-1.6001364721937906E-2</v>
      </c>
      <c r="AC17" s="114">
        <f t="shared" si="0"/>
        <v>3.0931307996202493E-3</v>
      </c>
      <c r="AD17" s="114">
        <f t="shared" si="0"/>
        <v>9.7700829482825803E-3</v>
      </c>
      <c r="AE17" s="114">
        <f t="shared" si="0"/>
        <v>5.0499999999999998E-3</v>
      </c>
      <c r="AG17" s="132">
        <f t="shared" si="1"/>
        <v>44</v>
      </c>
      <c r="AH17" s="132">
        <f t="shared" si="1"/>
        <v>570</v>
      </c>
      <c r="AI17" s="132">
        <f t="shared" si="1"/>
        <v>250</v>
      </c>
      <c r="AJ17" s="132">
        <f t="shared" si="1"/>
        <v>-149</v>
      </c>
      <c r="AL17" s="114">
        <f t="shared" si="2"/>
        <v>-8.5769980506822607E-2</v>
      </c>
      <c r="AM17" s="114">
        <f t="shared" si="2"/>
        <v>-1.2153518123667377</v>
      </c>
      <c r="AN17" s="114">
        <f t="shared" si="2"/>
        <v>2.4752475247524752</v>
      </c>
      <c r="AO17" s="114">
        <f t="shared" si="2"/>
        <v>-0.42450142450142453</v>
      </c>
    </row>
    <row r="18" spans="1:41" ht="17.25" customHeight="1" thickBot="1" x14ac:dyDescent="0.35">
      <c r="A18" s="130" t="s">
        <v>305</v>
      </c>
      <c r="B18" s="112"/>
      <c r="C18" s="112"/>
      <c r="D18" s="112"/>
      <c r="E18" s="112"/>
      <c r="F18" s="112"/>
      <c r="G18" s="136">
        <v>-0.17660000000000001</v>
      </c>
      <c r="H18" s="133">
        <f>IFERROR((H17-G17)/G17,0)</f>
        <v>-8.5769980506822607E-2</v>
      </c>
      <c r="I18" s="133">
        <f>IFERROR((I17-H17)/H17,0)</f>
        <v>-1.2153518123667377</v>
      </c>
      <c r="J18" s="133">
        <f>IFERROR((J17-I17)/I17,0)</f>
        <v>2.4752475247524752</v>
      </c>
      <c r="K18" s="136">
        <f>IFERROR((K17-J17)/J17,0)</f>
        <v>-0.42450142450142453</v>
      </c>
      <c r="L18" s="120"/>
      <c r="M18" s="120"/>
      <c r="N18" s="120"/>
      <c r="O18" s="120"/>
      <c r="P18" s="120"/>
      <c r="Q18" s="120"/>
      <c r="R18" s="120"/>
      <c r="S18" s="120"/>
      <c r="T18" s="120"/>
      <c r="U18" s="120"/>
      <c r="V18" s="120"/>
      <c r="W18" s="120"/>
      <c r="X18" s="120"/>
      <c r="Y18" s="120"/>
      <c r="AA18" s="114">
        <f t="shared" si="0"/>
        <v>-7.3262808545944831E-6</v>
      </c>
      <c r="AB18" s="114">
        <f t="shared" si="0"/>
        <v>-2.926304350283951E-6</v>
      </c>
      <c r="AC18" s="114">
        <f t="shared" si="0"/>
        <v>-3.7220219041642049E-5</v>
      </c>
      <c r="AD18" s="114">
        <f t="shared" si="0"/>
        <v>6.8898500382800072E-5</v>
      </c>
      <c r="AE18" s="114">
        <f t="shared" si="0"/>
        <v>-1.0612535612535612E-5</v>
      </c>
      <c r="AG18" s="132">
        <f t="shared" si="1"/>
        <v>9.08300194931774E-2</v>
      </c>
      <c r="AH18" s="132">
        <f t="shared" si="1"/>
        <v>-1.1295818318599151</v>
      </c>
      <c r="AI18" s="132">
        <f t="shared" si="1"/>
        <v>3.6905993371192132</v>
      </c>
      <c r="AJ18" s="132">
        <f t="shared" si="1"/>
        <v>-2.8997489492538997</v>
      </c>
      <c r="AL18" s="114">
        <f t="shared" si="2"/>
        <v>-0.51432627119579499</v>
      </c>
      <c r="AM18" s="114">
        <f t="shared" si="2"/>
        <v>13.169897266912193</v>
      </c>
      <c r="AN18" s="114">
        <f t="shared" si="2"/>
        <v>-3.0366510335244055</v>
      </c>
      <c r="AO18" s="114">
        <f t="shared" si="2"/>
        <v>-1.1714985754985754</v>
      </c>
    </row>
    <row r="19" spans="1:41" ht="17.25" customHeight="1" thickBot="1" x14ac:dyDescent="0.35">
      <c r="A19" s="130" t="s">
        <v>306</v>
      </c>
      <c r="B19" s="112"/>
      <c r="C19" s="112"/>
      <c r="D19" s="112"/>
      <c r="E19" s="112"/>
      <c r="F19" s="112"/>
      <c r="G19" s="134">
        <v>-513</v>
      </c>
      <c r="H19" s="134">
        <v>-538</v>
      </c>
      <c r="I19" s="134">
        <v>-644</v>
      </c>
      <c r="J19" s="134">
        <v>-641</v>
      </c>
      <c r="K19" s="134">
        <v>-589</v>
      </c>
      <c r="L19" s="142"/>
      <c r="M19" s="142"/>
      <c r="N19" s="142"/>
      <c r="O19" s="142"/>
      <c r="P19" s="142"/>
      <c r="Q19" s="142"/>
      <c r="R19" s="142"/>
      <c r="S19" s="142"/>
      <c r="T19" s="142"/>
      <c r="U19" s="142"/>
      <c r="V19" s="142"/>
      <c r="W19" s="142"/>
      <c r="X19" s="142"/>
      <c r="Y19" s="142"/>
      <c r="AA19" s="114">
        <f t="shared" si="0"/>
        <v>-2.1281891723708774E-2</v>
      </c>
      <c r="AB19" s="114">
        <f t="shared" si="0"/>
        <v>-1.8355510064824294E-2</v>
      </c>
      <c r="AC19" s="114">
        <f t="shared" si="0"/>
        <v>-1.9722536979756837E-2</v>
      </c>
      <c r="AD19" s="114">
        <f t="shared" si="0"/>
        <v>-1.7842231253131436E-2</v>
      </c>
      <c r="AE19" s="114">
        <f t="shared" si="0"/>
        <v>-1.4725E-2</v>
      </c>
      <c r="AG19" s="132">
        <f t="shared" si="1"/>
        <v>-25</v>
      </c>
      <c r="AH19" s="132">
        <f t="shared" si="1"/>
        <v>-106</v>
      </c>
      <c r="AI19" s="132">
        <f t="shared" si="1"/>
        <v>3</v>
      </c>
      <c r="AJ19" s="132">
        <f t="shared" si="1"/>
        <v>52</v>
      </c>
      <c r="AL19" s="114">
        <f t="shared" si="2"/>
        <v>4.8732943469785572E-2</v>
      </c>
      <c r="AM19" s="114">
        <f t="shared" si="2"/>
        <v>0.19702602230483271</v>
      </c>
      <c r="AN19" s="114">
        <f t="shared" si="2"/>
        <v>-4.658385093167702E-3</v>
      </c>
      <c r="AO19" s="114">
        <f t="shared" si="2"/>
        <v>-8.1123244929797195E-2</v>
      </c>
    </row>
    <row r="20" spans="1:41" ht="17.25" customHeight="1" thickBot="1" x14ac:dyDescent="0.35">
      <c r="A20" s="130" t="s">
        <v>307</v>
      </c>
      <c r="B20" s="112"/>
      <c r="C20" s="112"/>
      <c r="D20" s="112"/>
      <c r="E20" s="112"/>
      <c r="F20" s="112"/>
      <c r="G20" s="134" t="s">
        <v>230</v>
      </c>
      <c r="H20" s="134">
        <v>69</v>
      </c>
      <c r="I20" s="134">
        <v>745</v>
      </c>
      <c r="J20" s="134">
        <v>992</v>
      </c>
      <c r="K20" s="134">
        <v>791</v>
      </c>
      <c r="L20" s="142"/>
      <c r="M20" s="142"/>
      <c r="N20" s="142"/>
      <c r="O20" s="142"/>
      <c r="P20" s="142"/>
      <c r="Q20" s="142"/>
      <c r="R20" s="142"/>
      <c r="S20" s="142"/>
      <c r="T20" s="142"/>
      <c r="U20" s="142"/>
      <c r="V20" s="142"/>
      <c r="W20" s="142"/>
      <c r="X20" s="142"/>
      <c r="Y20" s="142"/>
      <c r="AA20" s="114">
        <f t="shared" si="0"/>
        <v>0</v>
      </c>
      <c r="AB20" s="114">
        <f t="shared" si="0"/>
        <v>2.354145342886387E-3</v>
      </c>
      <c r="AC20" s="114">
        <f t="shared" si="0"/>
        <v>2.2815667779377085E-2</v>
      </c>
      <c r="AD20" s="114">
        <f t="shared" si="0"/>
        <v>2.7612314201414016E-2</v>
      </c>
      <c r="AE20" s="114">
        <f t="shared" si="0"/>
        <v>1.9775000000000001E-2</v>
      </c>
      <c r="AG20" s="132">
        <f t="shared" si="1"/>
        <v>0</v>
      </c>
      <c r="AH20" s="132">
        <f t="shared" si="1"/>
        <v>676</v>
      </c>
      <c r="AI20" s="132">
        <f t="shared" si="1"/>
        <v>247</v>
      </c>
      <c r="AJ20" s="132">
        <f t="shared" si="1"/>
        <v>-201</v>
      </c>
      <c r="AL20" s="114">
        <f t="shared" si="2"/>
        <v>0</v>
      </c>
      <c r="AM20" s="114">
        <f t="shared" si="2"/>
        <v>9.7971014492753632</v>
      </c>
      <c r="AN20" s="114">
        <f t="shared" si="2"/>
        <v>0.3315436241610738</v>
      </c>
      <c r="AO20" s="114">
        <f t="shared" si="2"/>
        <v>-0.20262096774193547</v>
      </c>
    </row>
    <row r="21" spans="1:41" ht="17.25" customHeight="1" thickBot="1" x14ac:dyDescent="0.35">
      <c r="A21" s="130" t="s">
        <v>308</v>
      </c>
      <c r="B21" s="112"/>
      <c r="C21" s="112"/>
      <c r="D21" s="112"/>
      <c r="E21" s="112"/>
      <c r="F21" s="112"/>
      <c r="G21" s="134">
        <v>25</v>
      </c>
      <c r="H21" s="134">
        <v>88</v>
      </c>
      <c r="I21" s="134">
        <v>18</v>
      </c>
      <c r="J21" s="134">
        <v>14</v>
      </c>
      <c r="K21" s="134">
        <v>49</v>
      </c>
      <c r="L21" s="142"/>
      <c r="M21" s="142"/>
      <c r="N21" s="142"/>
      <c r="O21" s="142"/>
      <c r="P21" s="142"/>
      <c r="Q21" s="142"/>
      <c r="R21" s="142"/>
      <c r="S21" s="142"/>
      <c r="T21" s="142"/>
      <c r="U21" s="142"/>
      <c r="V21" s="142"/>
      <c r="W21" s="142"/>
      <c r="X21" s="142"/>
      <c r="Y21" s="142"/>
      <c r="AA21" s="114">
        <f t="shared" si="0"/>
        <v>1.0371292263015972E-3</v>
      </c>
      <c r="AB21" s="114">
        <f t="shared" si="0"/>
        <v>3.0023882633913338E-3</v>
      </c>
      <c r="AC21" s="114">
        <f t="shared" si="0"/>
        <v>5.5125103359568797E-4</v>
      </c>
      <c r="AD21" s="114">
        <f t="shared" si="0"/>
        <v>3.8968991816511721E-4</v>
      </c>
      <c r="AE21" s="114">
        <f t="shared" si="0"/>
        <v>1.225E-3</v>
      </c>
      <c r="AG21" s="132">
        <f t="shared" si="1"/>
        <v>63</v>
      </c>
      <c r="AH21" s="132">
        <f t="shared" si="1"/>
        <v>-70</v>
      </c>
      <c r="AI21" s="132">
        <f t="shared" si="1"/>
        <v>-4</v>
      </c>
      <c r="AJ21" s="132">
        <f t="shared" si="1"/>
        <v>35</v>
      </c>
      <c r="AL21" s="114">
        <f t="shared" si="2"/>
        <v>2.52</v>
      </c>
      <c r="AM21" s="114">
        <f t="shared" si="2"/>
        <v>-0.79545454545454541</v>
      </c>
      <c r="AN21" s="114">
        <f t="shared" si="2"/>
        <v>-0.22222222222222221</v>
      </c>
      <c r="AO21" s="114">
        <f t="shared" si="2"/>
        <v>2.5</v>
      </c>
    </row>
    <row r="22" spans="1:41" ht="17.25" customHeight="1" thickBot="1" x14ac:dyDescent="0.35">
      <c r="A22" s="130" t="s">
        <v>309</v>
      </c>
      <c r="B22" s="112"/>
      <c r="C22" s="112"/>
      <c r="D22" s="112"/>
      <c r="E22" s="112"/>
      <c r="F22" s="112"/>
      <c r="G22" s="131">
        <f>IFERROR(SUM(G14,G17,G21),0)</f>
        <v>15319</v>
      </c>
      <c r="H22" s="131">
        <f>IFERROR(SUM(H14,H17,H21),0)</f>
        <v>19300</v>
      </c>
      <c r="I22" s="131">
        <f>IFERROR(SUM(I14,I17,I21),0)</f>
        <v>22046</v>
      </c>
      <c r="J22" s="131">
        <f>IFERROR(SUM(J14,J17,J21),0)</f>
        <v>24361</v>
      </c>
      <c r="K22" s="131">
        <f>IFERROR(SUM(K14,K17,K21),0)</f>
        <v>27059</v>
      </c>
      <c r="L22" s="141"/>
      <c r="M22" s="141"/>
      <c r="N22" s="141"/>
      <c r="O22" s="141"/>
      <c r="P22" s="141"/>
      <c r="Q22" s="141"/>
      <c r="R22" s="141"/>
      <c r="S22" s="141"/>
      <c r="T22" s="141"/>
      <c r="U22" s="141"/>
      <c r="V22" s="141"/>
      <c r="W22" s="141"/>
      <c r="X22" s="141"/>
      <c r="Y22" s="141"/>
      <c r="AA22" s="114">
        <f t="shared" si="0"/>
        <v>0.63551130470856665</v>
      </c>
      <c r="AB22" s="114">
        <f t="shared" si="0"/>
        <v>0.65847833503923581</v>
      </c>
      <c r="AC22" s="114">
        <f t="shared" si="0"/>
        <v>0.67516001592502983</v>
      </c>
      <c r="AD22" s="114">
        <f t="shared" si="0"/>
        <v>0.67808829260145853</v>
      </c>
      <c r="AE22" s="114">
        <f t="shared" si="0"/>
        <v>0.67647500000000005</v>
      </c>
      <c r="AG22" s="132">
        <f t="shared" si="1"/>
        <v>3981</v>
      </c>
      <c r="AH22" s="132">
        <f t="shared" si="1"/>
        <v>2746</v>
      </c>
      <c r="AI22" s="132">
        <f t="shared" si="1"/>
        <v>2315</v>
      </c>
      <c r="AJ22" s="132">
        <f t="shared" si="1"/>
        <v>2698</v>
      </c>
      <c r="AL22" s="114">
        <f t="shared" si="2"/>
        <v>0.25987335987988774</v>
      </c>
      <c r="AM22" s="114">
        <f t="shared" si="2"/>
        <v>0.14227979274611399</v>
      </c>
      <c r="AN22" s="114">
        <f t="shared" si="2"/>
        <v>0.10500771114941486</v>
      </c>
      <c r="AO22" s="114">
        <f t="shared" si="2"/>
        <v>0.11075079019744674</v>
      </c>
    </row>
    <row r="23" spans="1:41" ht="17.25" customHeight="1" thickBot="1" x14ac:dyDescent="0.35">
      <c r="A23" s="130" t="s">
        <v>310</v>
      </c>
      <c r="B23" s="112"/>
      <c r="C23" s="112"/>
      <c r="D23" s="112"/>
      <c r="E23" s="112"/>
      <c r="F23" s="112"/>
      <c r="G23" s="134" t="s">
        <v>230</v>
      </c>
      <c r="H23" s="134" t="s">
        <v>230</v>
      </c>
      <c r="I23" s="134" t="s">
        <v>230</v>
      </c>
      <c r="J23" s="134" t="s">
        <v>230</v>
      </c>
      <c r="K23" s="134" t="s">
        <v>230</v>
      </c>
      <c r="L23" s="142"/>
      <c r="M23" s="142"/>
      <c r="N23" s="142"/>
      <c r="O23" s="142"/>
      <c r="P23" s="142"/>
      <c r="Q23" s="142"/>
      <c r="R23" s="142"/>
      <c r="S23" s="142"/>
      <c r="T23" s="142"/>
      <c r="U23" s="142"/>
      <c r="V23" s="142"/>
      <c r="W23" s="142"/>
      <c r="X23" s="142"/>
      <c r="Y23" s="142"/>
      <c r="AA23" s="114">
        <f t="shared" si="0"/>
        <v>0</v>
      </c>
      <c r="AB23" s="114">
        <f t="shared" si="0"/>
        <v>0</v>
      </c>
      <c r="AC23" s="114">
        <f t="shared" si="0"/>
        <v>0</v>
      </c>
      <c r="AD23" s="114">
        <f t="shared" si="0"/>
        <v>0</v>
      </c>
      <c r="AE23" s="114">
        <f t="shared" si="0"/>
        <v>0</v>
      </c>
      <c r="AG23" s="132">
        <f t="shared" si="1"/>
        <v>0</v>
      </c>
      <c r="AH23" s="132">
        <f t="shared" si="1"/>
        <v>0</v>
      </c>
      <c r="AI23" s="132">
        <f t="shared" si="1"/>
        <v>0</v>
      </c>
      <c r="AJ23" s="132">
        <f t="shared" si="1"/>
        <v>0</v>
      </c>
      <c r="AL23" s="114">
        <f t="shared" si="2"/>
        <v>0</v>
      </c>
      <c r="AM23" s="114">
        <f t="shared" si="2"/>
        <v>0</v>
      </c>
      <c r="AN23" s="114">
        <f t="shared" si="2"/>
        <v>0</v>
      </c>
      <c r="AO23" s="114">
        <f t="shared" si="2"/>
        <v>0</v>
      </c>
    </row>
    <row r="24" spans="1:41" ht="17.25" customHeight="1" thickBot="1" x14ac:dyDescent="0.35">
      <c r="A24" s="130" t="s">
        <v>311</v>
      </c>
      <c r="B24" s="112"/>
      <c r="C24" s="112"/>
      <c r="D24" s="112"/>
      <c r="E24" s="112"/>
      <c r="F24" s="112"/>
      <c r="G24" s="134">
        <v>-3</v>
      </c>
      <c r="H24" s="134">
        <v>-868</v>
      </c>
      <c r="I24" s="134">
        <v>-927</v>
      </c>
      <c r="J24" s="134">
        <v>-401</v>
      </c>
      <c r="K24" s="131">
        <v>-2601</v>
      </c>
      <c r="L24" s="141"/>
      <c r="M24" s="141"/>
      <c r="N24" s="141"/>
      <c r="O24" s="141"/>
      <c r="P24" s="141"/>
      <c r="Q24" s="141"/>
      <c r="R24" s="141"/>
      <c r="S24" s="141"/>
      <c r="T24" s="141"/>
      <c r="U24" s="141"/>
      <c r="V24" s="141"/>
      <c r="W24" s="141"/>
      <c r="X24" s="141"/>
      <c r="Y24" s="141"/>
      <c r="AA24" s="114">
        <f t="shared" si="0"/>
        <v>-1.2445550715619165E-4</v>
      </c>
      <c r="AB24" s="114">
        <f t="shared" si="0"/>
        <v>-2.9614466052541796E-2</v>
      </c>
      <c r="AC24" s="114">
        <f t="shared" si="0"/>
        <v>-2.838942823017793E-2</v>
      </c>
      <c r="AD24" s="114">
        <f t="shared" si="0"/>
        <v>-1.1161832656015142E-2</v>
      </c>
      <c r="AE24" s="114">
        <f t="shared" si="0"/>
        <v>-6.5024999999999999E-2</v>
      </c>
      <c r="AG24" s="132">
        <f t="shared" si="1"/>
        <v>-865</v>
      </c>
      <c r="AH24" s="132">
        <f t="shared" si="1"/>
        <v>-59</v>
      </c>
      <c r="AI24" s="132">
        <f t="shared" si="1"/>
        <v>526</v>
      </c>
      <c r="AJ24" s="132">
        <f t="shared" si="1"/>
        <v>-2200</v>
      </c>
      <c r="AL24" s="114">
        <f t="shared" si="2"/>
        <v>288.33333333333331</v>
      </c>
      <c r="AM24" s="114">
        <f t="shared" si="2"/>
        <v>6.7972350230414744E-2</v>
      </c>
      <c r="AN24" s="114">
        <f t="shared" si="2"/>
        <v>-0.56742179072276155</v>
      </c>
      <c r="AO24" s="114">
        <f t="shared" si="2"/>
        <v>5.4862842892768082</v>
      </c>
    </row>
    <row r="25" spans="1:41" ht="17.25" customHeight="1" thickBot="1" x14ac:dyDescent="0.35">
      <c r="A25" s="111" t="s">
        <v>312</v>
      </c>
      <c r="B25" s="112"/>
      <c r="C25" s="112"/>
      <c r="D25" s="112"/>
      <c r="E25" s="112"/>
      <c r="F25" s="112"/>
      <c r="G25" s="113">
        <v>16063</v>
      </c>
      <c r="H25" s="113">
        <v>18136</v>
      </c>
      <c r="I25" s="113">
        <v>21037</v>
      </c>
      <c r="J25" s="113">
        <v>23916</v>
      </c>
      <c r="K25" s="113">
        <v>24194</v>
      </c>
      <c r="L25" s="143"/>
      <c r="M25" s="143"/>
      <c r="N25" s="143"/>
      <c r="O25" s="143"/>
      <c r="P25" s="143"/>
      <c r="Q25" s="143"/>
      <c r="R25" s="143"/>
      <c r="S25" s="143"/>
      <c r="T25" s="143"/>
      <c r="U25" s="143"/>
      <c r="V25" s="143"/>
      <c r="W25" s="143"/>
      <c r="X25" s="143"/>
      <c r="Y25" s="143"/>
      <c r="AA25" s="114">
        <f t="shared" si="0"/>
        <v>0.66637627048330217</v>
      </c>
      <c r="AB25" s="114">
        <f t="shared" si="0"/>
        <v>0.61876492664619587</v>
      </c>
      <c r="AC25" s="114">
        <f t="shared" si="0"/>
        <v>0.64425933298624938</v>
      </c>
      <c r="AD25" s="114">
        <f t="shared" si="0"/>
        <v>0.66570172020263874</v>
      </c>
      <c r="AE25" s="114">
        <f t="shared" si="0"/>
        <v>0.60485</v>
      </c>
      <c r="AG25" s="132">
        <f t="shared" si="1"/>
        <v>2073</v>
      </c>
      <c r="AH25" s="132">
        <f t="shared" si="1"/>
        <v>2901</v>
      </c>
      <c r="AI25" s="132">
        <f t="shared" si="1"/>
        <v>2879</v>
      </c>
      <c r="AJ25" s="132">
        <f t="shared" si="1"/>
        <v>278</v>
      </c>
      <c r="AL25" s="114">
        <f t="shared" si="2"/>
        <v>0.12905434850277034</v>
      </c>
      <c r="AM25" s="114">
        <f t="shared" si="2"/>
        <v>0.15995809439788267</v>
      </c>
      <c r="AN25" s="114">
        <f t="shared" si="2"/>
        <v>0.1368541141797785</v>
      </c>
      <c r="AO25" s="114">
        <f t="shared" si="2"/>
        <v>1.1624017394213079E-2</v>
      </c>
    </row>
    <row r="26" spans="1:41" ht="17.25" customHeight="1" thickBot="1" x14ac:dyDescent="0.35">
      <c r="A26" s="130" t="s">
        <v>313</v>
      </c>
      <c r="B26" s="112"/>
      <c r="C26" s="112"/>
      <c r="D26" s="112"/>
      <c r="E26" s="112"/>
      <c r="F26" s="112"/>
      <c r="G26" s="133">
        <v>0.1648</v>
      </c>
      <c r="H26" s="133">
        <f>IFERROR((H25-G25)/G25,0)</f>
        <v>0.12905434850277034</v>
      </c>
      <c r="I26" s="137">
        <f>IFERROR((I25-H25)/H25,0)</f>
        <v>0.15995809439788267</v>
      </c>
      <c r="J26" s="133">
        <f>IFERROR((J25-I25)/I25,0)</f>
        <v>0.1368541141797785</v>
      </c>
      <c r="K26" s="133">
        <f>IFERROR((K25-J25)/J25,0)</f>
        <v>1.1624017394213079E-2</v>
      </c>
      <c r="L26" s="119"/>
      <c r="M26" s="119"/>
      <c r="N26" s="119"/>
      <c r="O26" s="119"/>
      <c r="P26" s="119"/>
      <c r="Q26" s="119"/>
      <c r="R26" s="119"/>
      <c r="S26" s="119"/>
      <c r="T26" s="119"/>
      <c r="U26" s="119"/>
      <c r="V26" s="119"/>
      <c r="W26" s="119"/>
      <c r="X26" s="119"/>
      <c r="Y26" s="119"/>
      <c r="AA26" s="114">
        <f t="shared" si="0"/>
        <v>6.8367558597801288E-6</v>
      </c>
      <c r="AB26" s="114">
        <f t="shared" si="0"/>
        <v>4.4030825145946893E-6</v>
      </c>
      <c r="AC26" s="114">
        <f t="shared" si="0"/>
        <v>4.8987258260460808E-6</v>
      </c>
      <c r="AD26" s="114">
        <f t="shared" si="0"/>
        <v>3.8093334682341063E-6</v>
      </c>
      <c r="AE26" s="114">
        <f t="shared" si="0"/>
        <v>2.90600434855327E-7</v>
      </c>
      <c r="AG26" s="132">
        <f t="shared" si="1"/>
        <v>-3.5745651497229664E-2</v>
      </c>
      <c r="AH26" s="132">
        <f t="shared" si="1"/>
        <v>3.0903745895112328E-2</v>
      </c>
      <c r="AI26" s="132">
        <f t="shared" si="1"/>
        <v>-2.310398021810417E-2</v>
      </c>
      <c r="AJ26" s="132">
        <f t="shared" si="1"/>
        <v>-0.1252300967855654</v>
      </c>
      <c r="AL26" s="114">
        <f t="shared" si="2"/>
        <v>-0.21690322510454893</v>
      </c>
      <c r="AM26" s="114">
        <f t="shared" si="2"/>
        <v>0.23946303440095965</v>
      </c>
      <c r="AN26" s="114">
        <f t="shared" si="2"/>
        <v>-0.14443770604465261</v>
      </c>
      <c r="AO26" s="114">
        <f t="shared" si="2"/>
        <v>-0.91506271138518203</v>
      </c>
    </row>
    <row r="27" spans="1:41" ht="17.25" customHeight="1" thickBot="1" x14ac:dyDescent="0.35">
      <c r="A27" s="130" t="s">
        <v>314</v>
      </c>
      <c r="B27" s="112"/>
      <c r="C27" s="112"/>
      <c r="D27" s="112"/>
      <c r="E27" s="112"/>
      <c r="F27" s="112"/>
      <c r="G27" s="135">
        <f>IFERROR(G25/G3,0)</f>
        <v>0.66637627048330217</v>
      </c>
      <c r="H27" s="135">
        <f>IFERROR(H25/H3,0)</f>
        <v>0.61876492664619587</v>
      </c>
      <c r="I27" s="135">
        <f>IFERROR(I25/I3,0)</f>
        <v>0.64425933298624938</v>
      </c>
      <c r="J27" s="135">
        <f>IFERROR(J25/J3,0)</f>
        <v>0.66570172020263874</v>
      </c>
      <c r="K27" s="135">
        <f>IFERROR(K25/K3,0)</f>
        <v>0.60485</v>
      </c>
      <c r="L27" s="144"/>
      <c r="M27" s="144"/>
      <c r="N27" s="144"/>
      <c r="O27" s="144"/>
      <c r="P27" s="144"/>
      <c r="Q27" s="144"/>
      <c r="R27" s="144"/>
      <c r="S27" s="144"/>
      <c r="T27" s="144"/>
      <c r="U27" s="144"/>
      <c r="V27" s="144"/>
      <c r="W27" s="144"/>
      <c r="X27" s="144"/>
      <c r="Y27" s="144"/>
      <c r="AA27" s="114">
        <f t="shared" si="0"/>
        <v>2.7644732233283642E-5</v>
      </c>
      <c r="AB27" s="114">
        <f t="shared" si="0"/>
        <v>2.1111051745008389E-5</v>
      </c>
      <c r="AC27" s="114">
        <f t="shared" si="0"/>
        <v>1.9730479067352139E-5</v>
      </c>
      <c r="AD27" s="114">
        <f t="shared" si="0"/>
        <v>1.8529803490581715E-5</v>
      </c>
      <c r="AE27" s="114">
        <f t="shared" si="0"/>
        <v>1.512125E-5</v>
      </c>
      <c r="AG27" s="132">
        <f t="shared" si="1"/>
        <v>-4.7611343837106301E-2</v>
      </c>
      <c r="AH27" s="132">
        <f t="shared" si="1"/>
        <v>2.549440634005351E-2</v>
      </c>
      <c r="AI27" s="132">
        <f t="shared" si="1"/>
        <v>2.1442387216389358E-2</v>
      </c>
      <c r="AJ27" s="132">
        <f t="shared" si="1"/>
        <v>-6.0851720202638737E-2</v>
      </c>
      <c r="AL27" s="114">
        <f t="shared" si="2"/>
        <v>-7.1448138155602775E-2</v>
      </c>
      <c r="AM27" s="114">
        <f t="shared" si="2"/>
        <v>4.1202086999722561E-2</v>
      </c>
      <c r="AN27" s="114">
        <f t="shared" si="2"/>
        <v>3.328222987007471E-2</v>
      </c>
      <c r="AO27" s="114">
        <f t="shared" si="2"/>
        <v>-9.1409888777387496E-2</v>
      </c>
    </row>
    <row r="28" spans="1:41" ht="17.25" customHeight="1" thickBot="1" x14ac:dyDescent="0.35">
      <c r="A28" s="130" t="s">
        <v>315</v>
      </c>
      <c r="B28" s="112"/>
      <c r="C28" s="112"/>
      <c r="D28" s="112"/>
      <c r="E28" s="112"/>
      <c r="F28" s="112"/>
      <c r="G28" s="131">
        <v>3752</v>
      </c>
      <c r="H28" s="131">
        <v>3179</v>
      </c>
      <c r="I28" s="131">
        <v>3764</v>
      </c>
      <c r="J28" s="131">
        <v>4173</v>
      </c>
      <c r="K28" s="131">
        <v>4136</v>
      </c>
      <c r="L28" s="141"/>
      <c r="M28" s="141"/>
      <c r="N28" s="141"/>
      <c r="O28" s="141"/>
      <c r="P28" s="141"/>
      <c r="Q28" s="141"/>
      <c r="R28" s="141"/>
      <c r="S28" s="141"/>
      <c r="T28" s="141"/>
      <c r="U28" s="141"/>
      <c r="V28" s="141"/>
      <c r="W28" s="141"/>
      <c r="X28" s="141"/>
      <c r="Y28" s="141"/>
      <c r="AA28" s="114">
        <f t="shared" si="0"/>
        <v>0.1556523542833437</v>
      </c>
      <c r="AB28" s="114">
        <f t="shared" si="0"/>
        <v>0.10846127601501195</v>
      </c>
      <c r="AC28" s="114">
        <f t="shared" si="0"/>
        <v>0.11527271613634275</v>
      </c>
      <c r="AD28" s="114">
        <f t="shared" si="0"/>
        <v>0.11615543060735957</v>
      </c>
      <c r="AE28" s="114">
        <f t="shared" si="0"/>
        <v>0.10340000000000001</v>
      </c>
      <c r="AG28" s="132">
        <f t="shared" si="1"/>
        <v>-573</v>
      </c>
      <c r="AH28" s="132">
        <f t="shared" si="1"/>
        <v>585</v>
      </c>
      <c r="AI28" s="132">
        <f t="shared" si="1"/>
        <v>409</v>
      </c>
      <c r="AJ28" s="132">
        <f t="shared" si="1"/>
        <v>-37</v>
      </c>
      <c r="AL28" s="114">
        <f t="shared" si="2"/>
        <v>-0.15271855010660981</v>
      </c>
      <c r="AM28" s="114">
        <f t="shared" si="2"/>
        <v>0.18402013211701793</v>
      </c>
      <c r="AN28" s="114">
        <f t="shared" si="2"/>
        <v>0.10866099893730075</v>
      </c>
      <c r="AO28" s="114">
        <f t="shared" si="2"/>
        <v>-8.8665228852144746E-3</v>
      </c>
    </row>
    <row r="29" spans="1:41" ht="17.25" customHeight="1" thickBot="1" x14ac:dyDescent="0.35">
      <c r="A29" s="130" t="s">
        <v>316</v>
      </c>
      <c r="B29" s="112"/>
      <c r="C29" s="112"/>
      <c r="D29" s="112"/>
      <c r="E29" s="112"/>
      <c r="F29" s="112"/>
      <c r="G29" s="131">
        <f>IFERROR(G25-G28,0)</f>
        <v>12311</v>
      </c>
      <c r="H29" s="131">
        <f>IFERROR(H25-H28,0)</f>
        <v>14957</v>
      </c>
      <c r="I29" s="131">
        <f>IFERROR(I25-I28,0)</f>
        <v>17273</v>
      </c>
      <c r="J29" s="131">
        <f>IFERROR(J25-J28,0)</f>
        <v>19743</v>
      </c>
      <c r="K29" s="131">
        <f>IFERROR(K25-K28,0)</f>
        <v>20058</v>
      </c>
      <c r="L29" s="141"/>
      <c r="M29" s="141"/>
      <c r="N29" s="141"/>
      <c r="O29" s="141"/>
      <c r="P29" s="141"/>
      <c r="Q29" s="141"/>
      <c r="R29" s="141"/>
      <c r="S29" s="141"/>
      <c r="T29" s="141"/>
      <c r="U29" s="141"/>
      <c r="V29" s="141"/>
      <c r="W29" s="141"/>
      <c r="X29" s="141"/>
      <c r="Y29" s="141"/>
      <c r="AA29" s="114">
        <f t="shared" si="0"/>
        <v>0.51072391619995849</v>
      </c>
      <c r="AB29" s="114">
        <f t="shared" si="0"/>
        <v>0.51030365063118388</v>
      </c>
      <c r="AC29" s="114">
        <f t="shared" si="0"/>
        <v>0.52898661684990655</v>
      </c>
      <c r="AD29" s="114">
        <f t="shared" si="0"/>
        <v>0.54954628959527918</v>
      </c>
      <c r="AE29" s="114">
        <f t="shared" si="0"/>
        <v>0.50144999999999995</v>
      </c>
      <c r="AG29" s="132">
        <f t="shared" si="1"/>
        <v>2646</v>
      </c>
      <c r="AH29" s="132">
        <f t="shared" si="1"/>
        <v>2316</v>
      </c>
      <c r="AI29" s="132">
        <f t="shared" si="1"/>
        <v>2470</v>
      </c>
      <c r="AJ29" s="132">
        <f t="shared" si="1"/>
        <v>315</v>
      </c>
      <c r="AL29" s="114">
        <f t="shared" si="2"/>
        <v>0.21492973763301113</v>
      </c>
      <c r="AM29" s="114">
        <f t="shared" si="2"/>
        <v>0.15484388580597713</v>
      </c>
      <c r="AN29" s="114">
        <f t="shared" si="2"/>
        <v>0.14299774214091357</v>
      </c>
      <c r="AO29" s="114">
        <f t="shared" si="2"/>
        <v>1.5955022033125665E-2</v>
      </c>
    </row>
    <row r="30" spans="1:41" ht="17.25" customHeight="1" thickBot="1" x14ac:dyDescent="0.35">
      <c r="A30" s="130" t="s">
        <v>285</v>
      </c>
      <c r="B30" s="112"/>
      <c r="C30" s="112"/>
      <c r="D30" s="112"/>
      <c r="E30" s="112"/>
      <c r="F30" s="112"/>
      <c r="G30" s="134" t="s">
        <v>230</v>
      </c>
      <c r="H30" s="134" t="s">
        <v>230</v>
      </c>
      <c r="I30" s="134" t="s">
        <v>230</v>
      </c>
      <c r="J30" s="134" t="s">
        <v>230</v>
      </c>
      <c r="K30" s="134" t="s">
        <v>230</v>
      </c>
      <c r="L30" s="142"/>
      <c r="M30" s="142"/>
      <c r="N30" s="142"/>
      <c r="O30" s="142"/>
      <c r="P30" s="142"/>
      <c r="Q30" s="142"/>
      <c r="R30" s="142"/>
      <c r="S30" s="142"/>
      <c r="T30" s="142"/>
      <c r="U30" s="142"/>
      <c r="V30" s="142"/>
      <c r="W30" s="142"/>
      <c r="X30" s="142"/>
      <c r="Y30" s="142"/>
      <c r="AA30" s="114">
        <f t="shared" si="0"/>
        <v>0</v>
      </c>
      <c r="AB30" s="114">
        <f t="shared" si="0"/>
        <v>0</v>
      </c>
      <c r="AC30" s="114">
        <f t="shared" si="0"/>
        <v>0</v>
      </c>
      <c r="AD30" s="114">
        <f t="shared" si="0"/>
        <v>0</v>
      </c>
      <c r="AE30" s="114">
        <f t="shared" si="0"/>
        <v>0</v>
      </c>
      <c r="AG30" s="132">
        <f t="shared" si="1"/>
        <v>0</v>
      </c>
      <c r="AH30" s="132">
        <f t="shared" si="1"/>
        <v>0</v>
      </c>
      <c r="AI30" s="132">
        <f t="shared" si="1"/>
        <v>0</v>
      </c>
      <c r="AJ30" s="132">
        <f t="shared" si="1"/>
        <v>0</v>
      </c>
      <c r="AL30" s="114">
        <f t="shared" si="2"/>
        <v>0</v>
      </c>
      <c r="AM30" s="114">
        <f t="shared" si="2"/>
        <v>0</v>
      </c>
      <c r="AN30" s="114">
        <f t="shared" si="2"/>
        <v>0</v>
      </c>
      <c r="AO30" s="114">
        <f t="shared" si="2"/>
        <v>0</v>
      </c>
    </row>
    <row r="31" spans="1:41" ht="17.25" customHeight="1" thickBot="1" x14ac:dyDescent="0.35">
      <c r="A31" s="111" t="s">
        <v>317</v>
      </c>
      <c r="B31" s="112"/>
      <c r="C31" s="112"/>
      <c r="D31" s="112"/>
      <c r="E31" s="112"/>
      <c r="F31" s="112"/>
      <c r="G31" s="113">
        <f>IFERROR(G29-SUM(G30),0)</f>
        <v>12311</v>
      </c>
      <c r="H31" s="113">
        <f>IFERROR(H29-SUM(H30),0)</f>
        <v>14957</v>
      </c>
      <c r="I31" s="113">
        <f>IFERROR(I29-SUM(I30),0)</f>
        <v>17273</v>
      </c>
      <c r="J31" s="113">
        <f>IFERROR(J29-SUM(J30),0)</f>
        <v>19743</v>
      </c>
      <c r="K31" s="113">
        <f>IFERROR(K29-SUM(K30),0)</f>
        <v>20058</v>
      </c>
      <c r="L31" s="143"/>
      <c r="M31" s="143"/>
      <c r="N31" s="143"/>
      <c r="O31" s="143"/>
      <c r="P31" s="143"/>
      <c r="Q31" s="143"/>
      <c r="R31" s="143"/>
      <c r="S31" s="143"/>
      <c r="T31" s="143"/>
      <c r="U31" s="143"/>
      <c r="V31" s="143"/>
      <c r="W31" s="143"/>
      <c r="X31" s="143"/>
      <c r="Y31" s="143"/>
      <c r="AA31" s="114">
        <f t="shared" si="0"/>
        <v>0.51072391619995849</v>
      </c>
      <c r="AB31" s="114">
        <f t="shared" si="0"/>
        <v>0.51030365063118388</v>
      </c>
      <c r="AC31" s="114">
        <f t="shared" si="0"/>
        <v>0.52898661684990655</v>
      </c>
      <c r="AD31" s="114">
        <f t="shared" si="0"/>
        <v>0.54954628959527918</v>
      </c>
      <c r="AE31" s="114">
        <f t="shared" si="0"/>
        <v>0.50144999999999995</v>
      </c>
      <c r="AG31" s="132">
        <f t="shared" si="1"/>
        <v>2646</v>
      </c>
      <c r="AH31" s="132">
        <f t="shared" si="1"/>
        <v>2316</v>
      </c>
      <c r="AI31" s="132">
        <f t="shared" si="1"/>
        <v>2470</v>
      </c>
      <c r="AJ31" s="132">
        <f t="shared" si="1"/>
        <v>315</v>
      </c>
      <c r="AL31" s="114">
        <f t="shared" si="2"/>
        <v>0.21492973763301113</v>
      </c>
      <c r="AM31" s="114">
        <f t="shared" si="2"/>
        <v>0.15484388580597713</v>
      </c>
      <c r="AN31" s="114">
        <f t="shared" si="2"/>
        <v>0.14299774214091357</v>
      </c>
      <c r="AO31" s="114">
        <f t="shared" si="2"/>
        <v>1.5955022033125665E-2</v>
      </c>
    </row>
    <row r="32" spans="1:41" ht="17.25" customHeight="1" thickBot="1" x14ac:dyDescent="0.35">
      <c r="A32" s="130" t="s">
        <v>318</v>
      </c>
      <c r="B32" s="112"/>
      <c r="C32" s="112"/>
      <c r="D32" s="112"/>
      <c r="E32" s="112"/>
      <c r="F32" s="112"/>
      <c r="G32" s="133">
        <v>0.13300000000000001</v>
      </c>
      <c r="H32" s="133">
        <f>IFERROR((H31-G31)/G31,0)</f>
        <v>0.21492973763301113</v>
      </c>
      <c r="I32" s="133">
        <f>IFERROR((I31-H31)/H31,0)</f>
        <v>0.15484388580597713</v>
      </c>
      <c r="J32" s="133">
        <f>IFERROR((J31-I31)/I31,0)</f>
        <v>0.14299774214091357</v>
      </c>
      <c r="K32" s="133">
        <f>IFERROR((K31-J31)/J31,0)</f>
        <v>1.5955022033125665E-2</v>
      </c>
      <c r="L32" s="119"/>
      <c r="M32" s="119"/>
      <c r="N32" s="119"/>
      <c r="O32" s="119"/>
      <c r="P32" s="119"/>
      <c r="Q32" s="119"/>
      <c r="R32" s="119"/>
      <c r="S32" s="119"/>
      <c r="T32" s="119"/>
      <c r="U32" s="119"/>
      <c r="V32" s="119"/>
      <c r="W32" s="119"/>
      <c r="X32" s="119"/>
      <c r="Y32" s="119"/>
      <c r="AA32" s="114">
        <f t="shared" si="0"/>
        <v>5.5175274839244975E-6</v>
      </c>
      <c r="AB32" s="114">
        <f t="shared" si="0"/>
        <v>7.3329832013992196E-6</v>
      </c>
      <c r="AC32" s="114">
        <f t="shared" si="0"/>
        <v>4.7421028942509763E-6</v>
      </c>
      <c r="AD32" s="114">
        <f t="shared" si="0"/>
        <v>3.9803413166206526E-6</v>
      </c>
      <c r="AE32" s="114">
        <f t="shared" si="0"/>
        <v>3.9887555082814161E-7</v>
      </c>
      <c r="AG32" s="132">
        <f t="shared" si="1"/>
        <v>8.1929737633011118E-2</v>
      </c>
      <c r="AH32" s="132">
        <f t="shared" si="1"/>
        <v>-6.0085851827033993E-2</v>
      </c>
      <c r="AI32" s="132">
        <f t="shared" si="1"/>
        <v>-1.1846143665063563E-2</v>
      </c>
      <c r="AJ32" s="132">
        <f t="shared" si="1"/>
        <v>-0.12704272010778792</v>
      </c>
      <c r="AL32" s="114">
        <f t="shared" si="2"/>
        <v>0.61601306490985797</v>
      </c>
      <c r="AM32" s="114">
        <f t="shared" si="2"/>
        <v>-0.279560439093959</v>
      </c>
      <c r="AN32" s="114">
        <f t="shared" si="2"/>
        <v>-7.6503787045922159E-2</v>
      </c>
      <c r="AO32" s="114">
        <f t="shared" si="2"/>
        <v>-0.88842465766065615</v>
      </c>
    </row>
    <row r="33" spans="1:41" ht="17.25" customHeight="1" thickBot="1" x14ac:dyDescent="0.35">
      <c r="A33" s="130" t="s">
        <v>319</v>
      </c>
      <c r="B33" s="112"/>
      <c r="C33" s="112"/>
      <c r="D33" s="112"/>
      <c r="E33" s="112"/>
      <c r="F33" s="112"/>
      <c r="G33" s="135">
        <f>IFERROR(G31/G3,0)</f>
        <v>0.51072391619995849</v>
      </c>
      <c r="H33" s="135">
        <f>IFERROR(H31/H3,0)</f>
        <v>0.51030365063118388</v>
      </c>
      <c r="I33" s="135">
        <f>IFERROR(I31/I3,0)</f>
        <v>0.52898661684990655</v>
      </c>
      <c r="J33" s="135">
        <f>IFERROR(J31/J3,0)</f>
        <v>0.54954628959527918</v>
      </c>
      <c r="K33" s="135">
        <f>IFERROR(K31/K3,0)</f>
        <v>0.50144999999999995</v>
      </c>
      <c r="L33" s="144"/>
      <c r="M33" s="144"/>
      <c r="N33" s="144"/>
      <c r="O33" s="144"/>
      <c r="P33" s="144"/>
      <c r="Q33" s="144"/>
      <c r="R33" s="144"/>
      <c r="S33" s="144"/>
      <c r="T33" s="144"/>
      <c r="U33" s="144"/>
      <c r="V33" s="144"/>
      <c r="W33" s="144"/>
      <c r="X33" s="144"/>
      <c r="Y33" s="144"/>
      <c r="AA33" s="114">
        <f t="shared" si="0"/>
        <v>2.1187468002487389E-5</v>
      </c>
      <c r="AB33" s="114">
        <f t="shared" si="0"/>
        <v>1.741056467523657E-5</v>
      </c>
      <c r="AC33" s="114">
        <f t="shared" si="0"/>
        <v>1.6200245516488732E-5</v>
      </c>
      <c r="AD33" s="114">
        <f t="shared" si="0"/>
        <v>1.5296617758594866E-5</v>
      </c>
      <c r="AE33" s="114">
        <f t="shared" si="0"/>
        <v>1.2536249999999999E-5</v>
      </c>
      <c r="AG33" s="132">
        <f t="shared" si="1"/>
        <v>-4.2026556877461374E-4</v>
      </c>
      <c r="AH33" s="132">
        <f t="shared" si="1"/>
        <v>1.8682966218722674E-2</v>
      </c>
      <c r="AI33" s="132">
        <f t="shared" si="1"/>
        <v>2.0559672745372626E-2</v>
      </c>
      <c r="AJ33" s="132">
        <f t="shared" si="1"/>
        <v>-4.8096289595279229E-2</v>
      </c>
      <c r="AL33" s="114">
        <f t="shared" si="2"/>
        <v>-8.2288210017968197E-4</v>
      </c>
      <c r="AM33" s="114">
        <f t="shared" si="2"/>
        <v>3.661146886880802E-2</v>
      </c>
      <c r="AN33" s="114">
        <f t="shared" si="2"/>
        <v>3.8866149143440769E-2</v>
      </c>
      <c r="AO33" s="114">
        <f t="shared" si="2"/>
        <v>-8.7519996960948268E-2</v>
      </c>
    </row>
    <row r="34" spans="1:41" ht="17.25" customHeight="1" thickBot="1" x14ac:dyDescent="0.35">
      <c r="A34" s="130" t="s">
        <v>320</v>
      </c>
      <c r="B34" s="112"/>
      <c r="C34" s="112"/>
      <c r="D34" s="112"/>
      <c r="E34" s="112"/>
      <c r="F34" s="112"/>
      <c r="G34" s="134">
        <v>303</v>
      </c>
      <c r="H34" s="134">
        <v>327</v>
      </c>
      <c r="I34" s="134">
        <v>284</v>
      </c>
      <c r="J34" s="134">
        <v>286</v>
      </c>
      <c r="K34" s="134">
        <v>205</v>
      </c>
      <c r="L34" s="142"/>
      <c r="M34" s="142"/>
      <c r="N34" s="142"/>
      <c r="O34" s="142"/>
      <c r="P34" s="142"/>
      <c r="Q34" s="142"/>
      <c r="R34" s="142"/>
      <c r="S34" s="142"/>
      <c r="T34" s="142"/>
      <c r="U34" s="142"/>
      <c r="V34" s="142"/>
      <c r="W34" s="142"/>
      <c r="X34" s="142"/>
      <c r="Y34" s="142"/>
      <c r="AA34" s="114">
        <f t="shared" si="0"/>
        <v>1.2570006222775357E-2</v>
      </c>
      <c r="AB34" s="114">
        <f t="shared" si="0"/>
        <v>1.1156601842374617E-2</v>
      </c>
      <c r="AC34" s="114">
        <f t="shared" si="0"/>
        <v>8.697516307843078E-3</v>
      </c>
      <c r="AD34" s="114">
        <f t="shared" si="0"/>
        <v>7.9608083282302518E-3</v>
      </c>
      <c r="AE34" s="114">
        <f t="shared" si="0"/>
        <v>5.1250000000000002E-3</v>
      </c>
      <c r="AG34" s="132">
        <f t="shared" si="1"/>
        <v>24</v>
      </c>
      <c r="AH34" s="132">
        <f t="shared" si="1"/>
        <v>-43</v>
      </c>
      <c r="AI34" s="132">
        <f t="shared" si="1"/>
        <v>2</v>
      </c>
      <c r="AJ34" s="132">
        <f t="shared" si="1"/>
        <v>-81</v>
      </c>
      <c r="AL34" s="114">
        <f t="shared" si="2"/>
        <v>7.9207920792079209E-2</v>
      </c>
      <c r="AM34" s="114">
        <f t="shared" si="2"/>
        <v>-0.13149847094801223</v>
      </c>
      <c r="AN34" s="114">
        <f t="shared" si="2"/>
        <v>7.0422535211267607E-3</v>
      </c>
      <c r="AO34" s="114">
        <f t="shared" si="2"/>
        <v>-0.28321678321678323</v>
      </c>
    </row>
    <row r="35" spans="1:41" ht="17.25" customHeight="1" thickBot="1" x14ac:dyDescent="0.35">
      <c r="A35" s="130" t="s">
        <v>321</v>
      </c>
      <c r="B35" s="112"/>
      <c r="C35" s="112"/>
      <c r="D35" s="112"/>
      <c r="E35" s="112"/>
      <c r="F35" s="112"/>
      <c r="G35" s="131">
        <f>IFERROR(G31-G34,0)</f>
        <v>12008</v>
      </c>
      <c r="H35" s="131">
        <f>IFERROR(H31-H34,0)</f>
        <v>14630</v>
      </c>
      <c r="I35" s="131">
        <f>IFERROR(I31-I34,0)</f>
        <v>16989</v>
      </c>
      <c r="J35" s="131">
        <f>IFERROR(J31-J34,0)</f>
        <v>19457</v>
      </c>
      <c r="K35" s="131">
        <f>IFERROR(K31-K34,0)</f>
        <v>19853</v>
      </c>
      <c r="L35" s="141"/>
      <c r="M35" s="141"/>
      <c r="N35" s="141"/>
      <c r="O35" s="141"/>
      <c r="P35" s="141"/>
      <c r="Q35" s="141"/>
      <c r="R35" s="141"/>
      <c r="S35" s="141"/>
      <c r="T35" s="141"/>
      <c r="U35" s="141"/>
      <c r="V35" s="141"/>
      <c r="W35" s="141"/>
      <c r="X35" s="141"/>
      <c r="Y35" s="141"/>
      <c r="AA35" s="114">
        <f t="shared" si="0"/>
        <v>0.49815390997718317</v>
      </c>
      <c r="AB35" s="114">
        <f t="shared" si="0"/>
        <v>0.49914704878880928</v>
      </c>
      <c r="AC35" s="114">
        <f t="shared" si="0"/>
        <v>0.52028910054206357</v>
      </c>
      <c r="AD35" s="114">
        <f t="shared" si="0"/>
        <v>0.54158548126704897</v>
      </c>
      <c r="AE35" s="114">
        <f t="shared" si="0"/>
        <v>0.49632500000000002</v>
      </c>
      <c r="AG35" s="132">
        <f t="shared" si="1"/>
        <v>2622</v>
      </c>
      <c r="AH35" s="132">
        <f t="shared" si="1"/>
        <v>2359</v>
      </c>
      <c r="AI35" s="132">
        <f t="shared" si="1"/>
        <v>2468</v>
      </c>
      <c r="AJ35" s="132">
        <f t="shared" si="1"/>
        <v>396</v>
      </c>
      <c r="AL35" s="114">
        <f t="shared" si="2"/>
        <v>0.21835443037974683</v>
      </c>
      <c r="AM35" s="114">
        <f t="shared" si="2"/>
        <v>0.16124401913875597</v>
      </c>
      <c r="AN35" s="114">
        <f t="shared" si="2"/>
        <v>0.14527046912708222</v>
      </c>
      <c r="AO35" s="114">
        <f t="shared" si="2"/>
        <v>2.0352572339003956E-2</v>
      </c>
    </row>
    <row r="36" spans="1:41" ht="17.25" customHeight="1" thickBot="1" x14ac:dyDescent="0.35">
      <c r="A36" s="130" t="s">
        <v>322</v>
      </c>
      <c r="B36" s="112"/>
      <c r="C36" s="112"/>
      <c r="D36" s="112"/>
      <c r="E36" s="112"/>
      <c r="F36" s="112"/>
      <c r="G36" s="134">
        <v>5.66</v>
      </c>
      <c r="H36" s="134">
        <v>7.56</v>
      </c>
      <c r="I36" s="134">
        <v>8.33</v>
      </c>
      <c r="J36" s="134">
        <v>9.7799999999999994</v>
      </c>
      <c r="K36" s="134">
        <v>10.23</v>
      </c>
      <c r="L36" s="142"/>
      <c r="M36" s="142"/>
      <c r="N36" s="142"/>
      <c r="O36" s="142"/>
      <c r="P36" s="142"/>
      <c r="Q36" s="142"/>
      <c r="R36" s="142"/>
      <c r="S36" s="142"/>
      <c r="T36" s="142"/>
      <c r="U36" s="142"/>
      <c r="V36" s="142"/>
      <c r="W36" s="142"/>
      <c r="X36" s="142"/>
      <c r="Y36" s="142"/>
      <c r="AA36" s="114">
        <f t="shared" si="0"/>
        <v>2.348060568346816E-4</v>
      </c>
      <c r="AB36" s="114">
        <f t="shared" si="0"/>
        <v>2.5793244626407371E-4</v>
      </c>
      <c r="AC36" s="114">
        <f t="shared" si="0"/>
        <v>2.5510672832511561E-4</v>
      </c>
      <c r="AD36" s="114">
        <f t="shared" si="0"/>
        <v>2.7222624283248901E-4</v>
      </c>
      <c r="AE36" s="114">
        <f t="shared" si="0"/>
        <v>2.5575000000000001E-4</v>
      </c>
      <c r="AG36" s="132">
        <f t="shared" si="1"/>
        <v>1.8999999999999995</v>
      </c>
      <c r="AH36" s="132">
        <f t="shared" si="1"/>
        <v>0.77000000000000046</v>
      </c>
      <c r="AI36" s="132">
        <f t="shared" si="1"/>
        <v>1.4499999999999993</v>
      </c>
      <c r="AJ36" s="132">
        <f t="shared" si="1"/>
        <v>0.45000000000000107</v>
      </c>
      <c r="AL36" s="114">
        <f t="shared" si="2"/>
        <v>0.33568904593639565</v>
      </c>
      <c r="AM36" s="114">
        <f t="shared" si="2"/>
        <v>0.10185185185185192</v>
      </c>
      <c r="AN36" s="114">
        <f t="shared" si="2"/>
        <v>0.17406962785114036</v>
      </c>
      <c r="AO36" s="114">
        <f t="shared" si="2"/>
        <v>4.6012269938650416E-2</v>
      </c>
    </row>
    <row r="37" spans="1:41" ht="17.25" customHeight="1" thickBot="1" x14ac:dyDescent="0.35">
      <c r="A37" s="130" t="s">
        <v>323</v>
      </c>
      <c r="B37" s="112"/>
      <c r="C37" s="112"/>
      <c r="D37" s="112"/>
      <c r="E37" s="112"/>
      <c r="F37" s="112"/>
      <c r="G37" s="133">
        <v>0.15379999999999999</v>
      </c>
      <c r="H37" s="133">
        <f>IFERROR((H36-G36)/G36,0)</f>
        <v>0.33568904593639565</v>
      </c>
      <c r="I37" s="133">
        <f>IFERROR((I36-H36)/H36,0)</f>
        <v>0.10185185185185192</v>
      </c>
      <c r="J37" s="133">
        <f>IFERROR((J36-I36)/I36,0)</f>
        <v>0.17406962785114036</v>
      </c>
      <c r="K37" s="133">
        <f>IFERROR((K36-J36)/J36,0)</f>
        <v>4.6012269938650416E-2</v>
      </c>
      <c r="L37" s="119"/>
      <c r="M37" s="119"/>
      <c r="N37" s="119"/>
      <c r="O37" s="119"/>
      <c r="P37" s="119"/>
      <c r="Q37" s="119"/>
      <c r="R37" s="119"/>
      <c r="S37" s="119"/>
      <c r="T37" s="119"/>
      <c r="U37" s="119"/>
      <c r="V37" s="119"/>
      <c r="W37" s="119"/>
      <c r="X37" s="119"/>
      <c r="Y37" s="119"/>
      <c r="AA37" s="114">
        <f t="shared" si="0"/>
        <v>6.3804190002074259E-6</v>
      </c>
      <c r="AB37" s="114">
        <f t="shared" si="0"/>
        <v>1.1453055132596236E-5</v>
      </c>
      <c r="AC37" s="114">
        <f t="shared" si="0"/>
        <v>3.1192188114982365E-6</v>
      </c>
      <c r="AD37" s="114">
        <f t="shared" si="0"/>
        <v>4.8452270737388068E-6</v>
      </c>
      <c r="AE37" s="114">
        <f t="shared" si="0"/>
        <v>1.1503067484662604E-6</v>
      </c>
      <c r="AG37" s="132">
        <f t="shared" si="1"/>
        <v>0.18188904593639565</v>
      </c>
      <c r="AH37" s="132">
        <f t="shared" si="1"/>
        <v>-0.23383719408454373</v>
      </c>
      <c r="AI37" s="132">
        <f t="shared" si="1"/>
        <v>7.2217775999288442E-2</v>
      </c>
      <c r="AJ37" s="132">
        <f t="shared" si="1"/>
        <v>-0.12805735791248996</v>
      </c>
      <c r="AL37" s="114">
        <f t="shared" si="2"/>
        <v>1.1826335886631707</v>
      </c>
      <c r="AM37" s="114">
        <f t="shared" si="2"/>
        <v>-0.69658869395711476</v>
      </c>
      <c r="AN37" s="114">
        <f t="shared" si="2"/>
        <v>0.70904725526574064</v>
      </c>
      <c r="AO37" s="114">
        <f t="shared" si="2"/>
        <v>-0.73566744235244275</v>
      </c>
    </row>
    <row r="38" spans="1:41" ht="17.25" customHeight="1" thickBot="1" x14ac:dyDescent="0.35">
      <c r="A38" s="130" t="s">
        <v>324</v>
      </c>
      <c r="B38" s="112"/>
      <c r="C38" s="112"/>
      <c r="D38" s="112"/>
      <c r="E38" s="112"/>
      <c r="F38" s="112"/>
      <c r="G38" s="134">
        <v>5.63</v>
      </c>
      <c r="H38" s="134">
        <v>7</v>
      </c>
      <c r="I38" s="134">
        <v>8.2799999999999994</v>
      </c>
      <c r="J38" s="134">
        <v>9.73</v>
      </c>
      <c r="K38" s="134">
        <v>10.199999999999999</v>
      </c>
      <c r="L38" s="142"/>
      <c r="M38" s="142"/>
      <c r="N38" s="142"/>
      <c r="O38" s="142"/>
      <c r="P38" s="142"/>
      <c r="Q38" s="142"/>
      <c r="R38" s="142"/>
      <c r="S38" s="142"/>
      <c r="T38" s="142"/>
      <c r="U38" s="142"/>
      <c r="V38" s="142"/>
      <c r="W38" s="142"/>
      <c r="X38" s="142"/>
      <c r="Y38" s="142"/>
      <c r="AA38" s="114">
        <f t="shared" si="0"/>
        <v>2.3356150176311968E-4</v>
      </c>
      <c r="AB38" s="114">
        <f t="shared" si="0"/>
        <v>2.3882633913340157E-4</v>
      </c>
      <c r="AC38" s="114">
        <f t="shared" si="0"/>
        <v>2.5357547545401646E-4</v>
      </c>
      <c r="AD38" s="114">
        <f t="shared" si="0"/>
        <v>2.7083449312475643E-4</v>
      </c>
      <c r="AE38" s="114">
        <f t="shared" si="0"/>
        <v>2.5499999999999996E-4</v>
      </c>
      <c r="AG38" s="132">
        <f t="shared" si="1"/>
        <v>1.37</v>
      </c>
      <c r="AH38" s="132">
        <f t="shared" si="1"/>
        <v>1.2799999999999994</v>
      </c>
      <c r="AI38" s="132">
        <f t="shared" si="1"/>
        <v>1.4500000000000011</v>
      </c>
      <c r="AJ38" s="132">
        <f t="shared" si="1"/>
        <v>0.46999999999999886</v>
      </c>
      <c r="AL38" s="114">
        <f t="shared" si="2"/>
        <v>0.24333925399644762</v>
      </c>
      <c r="AM38" s="114">
        <f t="shared" si="2"/>
        <v>0.18285714285714277</v>
      </c>
      <c r="AN38" s="114">
        <f t="shared" si="2"/>
        <v>0.17512077294686004</v>
      </c>
      <c r="AO38" s="114">
        <f t="shared" si="2"/>
        <v>4.8304213771839549E-2</v>
      </c>
    </row>
    <row r="39" spans="1:41" ht="17.25" customHeight="1" thickBot="1" x14ac:dyDescent="0.35">
      <c r="A39" s="130" t="s">
        <v>325</v>
      </c>
      <c r="B39" s="112"/>
      <c r="C39" s="112"/>
      <c r="D39" s="112"/>
      <c r="E39" s="112"/>
      <c r="F39" s="112"/>
      <c r="G39" s="133">
        <v>0.15110000000000001</v>
      </c>
      <c r="H39" s="133">
        <f>IFERROR((H38-G38)/G38,0)</f>
        <v>0.24333925399644762</v>
      </c>
      <c r="I39" s="133">
        <f>IFERROR((I38-H38)/H38,0)</f>
        <v>0.18285714285714277</v>
      </c>
      <c r="J39" s="133">
        <f>IFERROR((J38-I38)/I38,0)</f>
        <v>0.17512077294686004</v>
      </c>
      <c r="K39" s="133">
        <f>IFERROR((K38-J38)/J38,0)</f>
        <v>4.8304213771839549E-2</v>
      </c>
      <c r="L39" s="119"/>
      <c r="M39" s="119"/>
      <c r="N39" s="119"/>
      <c r="O39" s="119"/>
      <c r="P39" s="119"/>
      <c r="Q39" s="119"/>
      <c r="R39" s="119"/>
      <c r="S39" s="119"/>
      <c r="T39" s="119"/>
      <c r="U39" s="119"/>
      <c r="V39" s="119"/>
      <c r="W39" s="119"/>
      <c r="X39" s="119"/>
      <c r="Y39" s="119"/>
      <c r="AA39" s="114">
        <f t="shared" si="0"/>
        <v>6.2684090437668535E-6</v>
      </c>
      <c r="AB39" s="114">
        <f t="shared" si="0"/>
        <v>8.3022604570606494E-6</v>
      </c>
      <c r="AC39" s="114">
        <f t="shared" si="0"/>
        <v>5.6000105000196852E-6</v>
      </c>
      <c r="AD39" s="114">
        <f t="shared" si="0"/>
        <v>4.8744856913338542E-6</v>
      </c>
      <c r="AE39" s="114">
        <f t="shared" si="0"/>
        <v>1.2076053442959887E-6</v>
      </c>
      <c r="AG39" s="132">
        <f t="shared" si="1"/>
        <v>9.2239253996447612E-2</v>
      </c>
      <c r="AH39" s="132">
        <f t="shared" si="1"/>
        <v>-6.0482111139304851E-2</v>
      </c>
      <c r="AI39" s="132">
        <f t="shared" si="1"/>
        <v>-7.736369910282731E-3</v>
      </c>
      <c r="AJ39" s="132">
        <f t="shared" si="1"/>
        <v>-0.12681655917502049</v>
      </c>
      <c r="AL39" s="114">
        <f t="shared" si="2"/>
        <v>0.61045171407311449</v>
      </c>
      <c r="AM39" s="114">
        <f t="shared" si="2"/>
        <v>-0.24855057351407758</v>
      </c>
      <c r="AN39" s="114">
        <f t="shared" si="2"/>
        <v>-4.2308272946858703E-2</v>
      </c>
      <c r="AO39" s="114">
        <f t="shared" si="2"/>
        <v>-0.72416628273735784</v>
      </c>
    </row>
    <row r="40" spans="1:41" ht="17.25" customHeight="1" thickBot="1" x14ac:dyDescent="0.35">
      <c r="A40" s="130" t="s">
        <v>326</v>
      </c>
      <c r="B40" s="112"/>
      <c r="C40" s="112"/>
      <c r="D40" s="112"/>
      <c r="E40" s="112"/>
      <c r="F40" s="112"/>
      <c r="G40" s="138">
        <v>2120.6</v>
      </c>
      <c r="H40" s="131">
        <v>1936</v>
      </c>
      <c r="I40" s="138">
        <v>2038.95</v>
      </c>
      <c r="J40" s="138">
        <v>1989.72</v>
      </c>
      <c r="K40" s="138">
        <v>1940.45</v>
      </c>
      <c r="L40" s="145"/>
      <c r="M40" s="145"/>
      <c r="N40" s="145"/>
      <c r="O40" s="145"/>
      <c r="P40" s="145"/>
      <c r="Q40" s="145"/>
      <c r="R40" s="145"/>
      <c r="S40" s="145"/>
      <c r="T40" s="145"/>
      <c r="U40" s="145"/>
      <c r="V40" s="145"/>
      <c r="W40" s="145"/>
      <c r="X40" s="145"/>
      <c r="Y40" s="145"/>
      <c r="AA40" s="114">
        <f t="shared" si="0"/>
        <v>8.7973449491806674E-2</v>
      </c>
      <c r="AB40" s="114">
        <f t="shared" si="0"/>
        <v>6.6052541794609343E-2</v>
      </c>
      <c r="AC40" s="114">
        <f t="shared" si="0"/>
        <v>6.2442960830551557E-2</v>
      </c>
      <c r="AD40" s="114">
        <f t="shared" si="0"/>
        <v>5.5383844569392639E-2</v>
      </c>
      <c r="AE40" s="114">
        <f t="shared" si="0"/>
        <v>4.8511249999999999E-2</v>
      </c>
      <c r="AG40" s="132">
        <f t="shared" si="1"/>
        <v>-184.59999999999991</v>
      </c>
      <c r="AH40" s="132">
        <f t="shared" si="1"/>
        <v>102.95000000000005</v>
      </c>
      <c r="AI40" s="132">
        <f t="shared" si="1"/>
        <v>-49.230000000000018</v>
      </c>
      <c r="AJ40" s="132">
        <f t="shared" si="1"/>
        <v>-49.269999999999982</v>
      </c>
      <c r="AL40" s="114">
        <f t="shared" si="2"/>
        <v>-8.7050834669433141E-2</v>
      </c>
      <c r="AM40" s="114">
        <f t="shared" si="2"/>
        <v>5.3176652892562008E-2</v>
      </c>
      <c r="AN40" s="114">
        <f t="shared" si="2"/>
        <v>-2.4144780401677342E-2</v>
      </c>
      <c r="AO40" s="114">
        <f t="shared" si="2"/>
        <v>-2.4762278109482731E-2</v>
      </c>
    </row>
    <row r="41" spans="1:41" ht="17.25" customHeight="1" thickBot="1" x14ac:dyDescent="0.35">
      <c r="A41" s="130" t="s">
        <v>327</v>
      </c>
      <c r="B41" s="112"/>
      <c r="C41" s="112"/>
      <c r="D41" s="112"/>
      <c r="E41" s="112"/>
      <c r="F41" s="112"/>
      <c r="G41" s="131">
        <v>2188</v>
      </c>
      <c r="H41" s="131">
        <v>2136</v>
      </c>
      <c r="I41" s="131">
        <v>2085</v>
      </c>
      <c r="J41" s="131">
        <v>2029</v>
      </c>
      <c r="K41" s="131">
        <v>1966</v>
      </c>
      <c r="L41" s="141"/>
      <c r="M41" s="141"/>
      <c r="N41" s="141"/>
      <c r="O41" s="141"/>
      <c r="P41" s="141"/>
      <c r="Q41" s="141"/>
      <c r="R41" s="141"/>
      <c r="S41" s="141"/>
      <c r="T41" s="141"/>
      <c r="U41" s="141"/>
      <c r="V41" s="141"/>
      <c r="W41" s="141"/>
      <c r="X41" s="141"/>
      <c r="Y41" s="141"/>
      <c r="AA41" s="114">
        <f t="shared" si="0"/>
        <v>9.076954988591579E-2</v>
      </c>
      <c r="AB41" s="114">
        <f t="shared" si="0"/>
        <v>7.2876151484135107E-2</v>
      </c>
      <c r="AC41" s="114">
        <f t="shared" si="0"/>
        <v>6.3853244724833863E-2</v>
      </c>
      <c r="AD41" s="114">
        <f t="shared" si="0"/>
        <v>5.6477203139787338E-2</v>
      </c>
      <c r="AE41" s="114">
        <f t="shared" si="0"/>
        <v>4.9149999999999999E-2</v>
      </c>
      <c r="AG41" s="132">
        <f t="shared" si="1"/>
        <v>-52</v>
      </c>
      <c r="AH41" s="132">
        <f t="shared" si="1"/>
        <v>-51</v>
      </c>
      <c r="AI41" s="132">
        <f t="shared" si="1"/>
        <v>-56</v>
      </c>
      <c r="AJ41" s="132">
        <f t="shared" si="1"/>
        <v>-63</v>
      </c>
      <c r="AL41" s="114">
        <f t="shared" si="2"/>
        <v>-2.376599634369287E-2</v>
      </c>
      <c r="AM41" s="114">
        <f t="shared" si="2"/>
        <v>-2.3876404494382022E-2</v>
      </c>
      <c r="AN41" s="114">
        <f t="shared" si="2"/>
        <v>-2.685851318944844E-2</v>
      </c>
      <c r="AO41" s="114">
        <f t="shared" si="2"/>
        <v>-3.1049778215869888E-2</v>
      </c>
    </row>
    <row r="42" spans="1:41" ht="17.25" customHeight="1" thickBot="1" x14ac:dyDescent="0.35">
      <c r="A42" s="130" t="s">
        <v>328</v>
      </c>
      <c r="B42" s="112"/>
      <c r="C42" s="112"/>
      <c r="D42" s="112"/>
      <c r="E42" s="112"/>
      <c r="F42" s="112"/>
      <c r="G42" s="134">
        <v>1.34</v>
      </c>
      <c r="H42" s="134">
        <v>1.58</v>
      </c>
      <c r="I42" s="134">
        <v>1.87</v>
      </c>
      <c r="J42" s="134">
        <v>2.15</v>
      </c>
      <c r="K42" s="134">
        <v>2.44</v>
      </c>
      <c r="L42" s="142"/>
      <c r="M42" s="142"/>
      <c r="N42" s="142"/>
      <c r="O42" s="142"/>
      <c r="P42" s="142"/>
      <c r="Q42" s="142"/>
      <c r="R42" s="142"/>
      <c r="S42" s="142"/>
      <c r="T42" s="142"/>
      <c r="U42" s="142"/>
      <c r="V42" s="142"/>
      <c r="W42" s="142"/>
      <c r="X42" s="142"/>
      <c r="Y42" s="142"/>
      <c r="AA42" s="114">
        <f t="shared" si="0"/>
        <v>5.5590126529765609E-5</v>
      </c>
      <c r="AB42" s="114">
        <f t="shared" si="0"/>
        <v>5.39065165472535E-5</v>
      </c>
      <c r="AC42" s="114">
        <f t="shared" si="0"/>
        <v>5.7268857379107592E-5</v>
      </c>
      <c r="AD42" s="114">
        <f t="shared" si="0"/>
        <v>5.9845237432500134E-5</v>
      </c>
      <c r="AE42" s="114">
        <f t="shared" si="0"/>
        <v>6.0999999999999999E-5</v>
      </c>
      <c r="AG42" s="132">
        <f t="shared" si="1"/>
        <v>0.24</v>
      </c>
      <c r="AH42" s="132">
        <f t="shared" si="1"/>
        <v>0.29000000000000004</v>
      </c>
      <c r="AI42" s="132">
        <f t="shared" si="1"/>
        <v>0.2799999999999998</v>
      </c>
      <c r="AJ42" s="132">
        <f t="shared" si="1"/>
        <v>0.29000000000000004</v>
      </c>
      <c r="AL42" s="114">
        <f t="shared" si="2"/>
        <v>0.17910447761194029</v>
      </c>
      <c r="AM42" s="114">
        <f t="shared" si="2"/>
        <v>0.18354430379746836</v>
      </c>
      <c r="AN42" s="114">
        <f t="shared" si="2"/>
        <v>0.14973262032085549</v>
      </c>
      <c r="AO42" s="114">
        <f t="shared" si="2"/>
        <v>0.13488372093023257</v>
      </c>
    </row>
    <row r="43" spans="1:41" ht="17.25" customHeight="1" thickBot="1" x14ac:dyDescent="0.35">
      <c r="A43" s="130" t="s">
        <v>329</v>
      </c>
      <c r="B43" s="112"/>
      <c r="C43" s="112"/>
      <c r="D43" s="112"/>
      <c r="E43" s="112"/>
      <c r="F43" s="112"/>
      <c r="G43" s="133">
        <v>9.4299999999999995E-2</v>
      </c>
      <c r="H43" s="133">
        <f>IFERROR((H42-G42)/G42,0)</f>
        <v>0.17910447761194029</v>
      </c>
      <c r="I43" s="133">
        <f>IFERROR((I42-H42)/H42,0)</f>
        <v>0.18354430379746836</v>
      </c>
      <c r="J43" s="133">
        <f>IFERROR((J42-I42)/I42,0)</f>
        <v>0.14973262032085549</v>
      </c>
      <c r="K43" s="133">
        <f>IFERROR((K42-J42)/J42,0)</f>
        <v>0.13488372093023257</v>
      </c>
      <c r="L43" s="119"/>
      <c r="M43" s="119"/>
      <c r="N43" s="119"/>
      <c r="O43" s="119"/>
      <c r="P43" s="119"/>
      <c r="Q43" s="119"/>
      <c r="R43" s="119"/>
      <c r="S43" s="119"/>
      <c r="T43" s="119"/>
      <c r="U43" s="119"/>
      <c r="V43" s="119"/>
      <c r="W43" s="119"/>
      <c r="X43" s="119"/>
      <c r="Y43" s="119"/>
      <c r="AA43" s="114">
        <f t="shared" si="0"/>
        <v>3.9120514416096246E-6</v>
      </c>
      <c r="AB43" s="114">
        <f t="shared" si="0"/>
        <v>6.1106952443514254E-6</v>
      </c>
      <c r="AC43" s="114">
        <f t="shared" si="0"/>
        <v>5.6210548432752993E-6</v>
      </c>
      <c r="AD43" s="114">
        <f t="shared" si="0"/>
        <v>4.1678066113916245E-6</v>
      </c>
      <c r="AE43" s="114">
        <f t="shared" si="0"/>
        <v>3.3720930232558142E-6</v>
      </c>
      <c r="AG43" s="132">
        <f t="shared" si="1"/>
        <v>8.4804477611940293E-2</v>
      </c>
      <c r="AH43" s="132">
        <f t="shared" si="1"/>
        <v>4.439826185528073E-3</v>
      </c>
      <c r="AI43" s="132">
        <f t="shared" si="1"/>
        <v>-3.3811683476612869E-2</v>
      </c>
      <c r="AJ43" s="132">
        <f t="shared" si="1"/>
        <v>-1.4848899390622922E-2</v>
      </c>
      <c r="AL43" s="114">
        <f t="shared" si="2"/>
        <v>0.89930517085832762</v>
      </c>
      <c r="AM43" s="114">
        <f t="shared" si="2"/>
        <v>2.4789029535865075E-2</v>
      </c>
      <c r="AN43" s="114">
        <f t="shared" si="2"/>
        <v>-0.18421537894154597</v>
      </c>
      <c r="AO43" s="114">
        <f t="shared" si="2"/>
        <v>-9.9169435215946025E-2</v>
      </c>
    </row>
    <row r="44" spans="1:41" ht="16.5" customHeight="1" x14ac:dyDescent="0.3">
      <c r="A44" s="139"/>
      <c r="B44" s="181"/>
      <c r="C44" s="182"/>
      <c r="D44" s="182"/>
      <c r="E44" s="182"/>
      <c r="F44" s="182"/>
      <c r="G44" s="182"/>
      <c r="H44" s="182"/>
      <c r="I44" s="182"/>
      <c r="J44" s="182"/>
      <c r="K44" s="182"/>
      <c r="L44" s="146"/>
      <c r="M44" s="146"/>
      <c r="N44" s="146"/>
      <c r="O44" s="146"/>
      <c r="P44" s="146"/>
      <c r="Q44" s="146"/>
      <c r="R44" s="146"/>
      <c r="S44" s="146"/>
      <c r="T44" s="146"/>
      <c r="U44" s="146"/>
      <c r="V44" s="146"/>
      <c r="W44" s="146"/>
      <c r="X44" s="146"/>
      <c r="Y44" s="146"/>
    </row>
    <row r="45" spans="1:41" ht="17.25" customHeight="1" thickBot="1" x14ac:dyDescent="0.35">
      <c r="A45" s="111" t="s">
        <v>78</v>
      </c>
      <c r="B45" s="112"/>
      <c r="C45" s="112"/>
      <c r="D45" s="112"/>
      <c r="E45" s="112"/>
      <c r="F45" s="112"/>
      <c r="G45" s="113">
        <v>16611</v>
      </c>
      <c r="H45" s="113">
        <v>20542</v>
      </c>
      <c r="I45" s="113">
        <v>22870</v>
      </c>
      <c r="J45" s="113">
        <v>25030</v>
      </c>
      <c r="K45" s="113">
        <v>28028</v>
      </c>
      <c r="L45" s="143"/>
      <c r="M45" s="143"/>
      <c r="N45" s="143"/>
      <c r="O45" s="143"/>
      <c r="P45" s="143"/>
      <c r="Q45" s="143"/>
      <c r="R45" s="143"/>
      <c r="S45" s="143"/>
      <c r="T45" s="143"/>
      <c r="U45" s="143"/>
      <c r="V45" s="143"/>
      <c r="W45" s="143"/>
      <c r="X45" s="143"/>
      <c r="Y45" s="143"/>
      <c r="AA45" s="114">
        <f t="shared" ref="AA45:AE48" si="3">IFERROR(G45/G$3,0)</f>
        <v>0.68911014312383323</v>
      </c>
      <c r="AB45" s="114">
        <f t="shared" si="3"/>
        <v>0.70085295121119073</v>
      </c>
      <c r="AC45" s="114">
        <f t="shared" si="3"/>
        <v>0.70039506324074363</v>
      </c>
      <c r="AD45" s="114">
        <f t="shared" si="3"/>
        <v>0.69670990369092023</v>
      </c>
      <c r="AE45" s="114">
        <f t="shared" si="3"/>
        <v>0.70069999999999999</v>
      </c>
      <c r="AG45" s="132">
        <f t="shared" ref="AG45:AJ48" si="4">IFERROR(H45-G45,0)</f>
        <v>3931</v>
      </c>
      <c r="AH45" s="132">
        <f t="shared" si="4"/>
        <v>2328</v>
      </c>
      <c r="AI45" s="132">
        <f t="shared" si="4"/>
        <v>2160</v>
      </c>
      <c r="AJ45" s="132">
        <f t="shared" si="4"/>
        <v>2998</v>
      </c>
      <c r="AL45" s="114">
        <f t="shared" ref="AL45:AO48" si="5">IFERROR((H45-G45)/G45,0)</f>
        <v>0.23665041237734033</v>
      </c>
      <c r="AM45" s="114">
        <f t="shared" si="5"/>
        <v>0.11332878979651446</v>
      </c>
      <c r="AN45" s="114">
        <f t="shared" si="5"/>
        <v>9.4446873633581105E-2</v>
      </c>
      <c r="AO45" s="114">
        <f t="shared" si="5"/>
        <v>0.1197762684778266</v>
      </c>
    </row>
    <row r="46" spans="1:41" ht="17.25" customHeight="1" thickBot="1" x14ac:dyDescent="0.35">
      <c r="A46" s="130" t="s">
        <v>330</v>
      </c>
      <c r="B46" s="112"/>
      <c r="C46" s="112"/>
      <c r="D46" s="112"/>
      <c r="E46" s="112"/>
      <c r="F46" s="112"/>
      <c r="G46" s="133">
        <v>0.1154</v>
      </c>
      <c r="H46" s="133">
        <f>IFERROR((H45-G45)/G45,0)</f>
        <v>0.23665041237734033</v>
      </c>
      <c r="I46" s="133">
        <f>IFERROR((I45-H45)/H45,0)</f>
        <v>0.11332878979651446</v>
      </c>
      <c r="J46" s="133">
        <f>IFERROR((J45-I45)/I45,0)</f>
        <v>9.4446873633581105E-2</v>
      </c>
      <c r="K46" s="133">
        <f>IFERROR((K45-J45)/J45,0)</f>
        <v>0.1197762684778266</v>
      </c>
      <c r="L46" s="119"/>
      <c r="M46" s="119"/>
      <c r="N46" s="119"/>
      <c r="O46" s="119"/>
      <c r="P46" s="119"/>
      <c r="Q46" s="119"/>
      <c r="R46" s="119"/>
      <c r="S46" s="119"/>
      <c r="T46" s="119"/>
      <c r="U46" s="119"/>
      <c r="V46" s="119"/>
      <c r="W46" s="119"/>
      <c r="X46" s="119"/>
      <c r="Y46" s="119"/>
      <c r="AA46" s="114">
        <f t="shared" si="3"/>
        <v>4.7873885086081725E-6</v>
      </c>
      <c r="AB46" s="114">
        <f t="shared" si="3"/>
        <v>8.074050234641431E-6</v>
      </c>
      <c r="AC46" s="114">
        <f t="shared" si="3"/>
        <v>3.4707006950820586E-6</v>
      </c>
      <c r="AD46" s="114">
        <f t="shared" si="3"/>
        <v>2.6289281755158132E-6</v>
      </c>
      <c r="AE46" s="114">
        <f t="shared" si="3"/>
        <v>2.9944067119456652E-6</v>
      </c>
      <c r="AG46" s="132">
        <f t="shared" si="4"/>
        <v>0.12125041237734033</v>
      </c>
      <c r="AH46" s="132">
        <f t="shared" si="4"/>
        <v>-0.12332162258082587</v>
      </c>
      <c r="AI46" s="132">
        <f t="shared" si="4"/>
        <v>-1.888191616293336E-2</v>
      </c>
      <c r="AJ46" s="132">
        <f t="shared" si="4"/>
        <v>2.5329394844245498E-2</v>
      </c>
      <c r="AL46" s="114">
        <f t="shared" si="5"/>
        <v>1.0506968143617013</v>
      </c>
      <c r="AM46" s="114">
        <f t="shared" si="5"/>
        <v>-0.52111306860597773</v>
      </c>
      <c r="AN46" s="114">
        <f t="shared" si="5"/>
        <v>-0.16661182208718947</v>
      </c>
      <c r="AO46" s="114">
        <f t="shared" si="5"/>
        <v>0.26818669448513638</v>
      </c>
    </row>
    <row r="47" spans="1:41" ht="17.25" customHeight="1" thickBot="1" x14ac:dyDescent="0.35">
      <c r="A47" s="130" t="s">
        <v>331</v>
      </c>
      <c r="B47" s="112"/>
      <c r="C47" s="112"/>
      <c r="D47" s="112"/>
      <c r="E47" s="112"/>
      <c r="F47" s="112"/>
      <c r="G47" s="135">
        <f>IFERROR(G45/G3,0)</f>
        <v>0.68911014312383323</v>
      </c>
      <c r="H47" s="135">
        <f>IFERROR(H45/H3,0)</f>
        <v>0.70085295121119073</v>
      </c>
      <c r="I47" s="135">
        <f>IFERROR(I45/I3,0)</f>
        <v>0.70039506324074363</v>
      </c>
      <c r="J47" s="135">
        <f>IFERROR(J45/J3,0)</f>
        <v>0.69670990369092023</v>
      </c>
      <c r="K47" s="135">
        <f>IFERROR(K45/K3,0)</f>
        <v>0.70069999999999999</v>
      </c>
      <c r="L47" s="144"/>
      <c r="M47" s="144"/>
      <c r="N47" s="144"/>
      <c r="O47" s="144"/>
      <c r="P47" s="144"/>
      <c r="Q47" s="144"/>
      <c r="R47" s="144"/>
      <c r="S47" s="144"/>
      <c r="T47" s="144"/>
      <c r="U47" s="144"/>
      <c r="V47" s="144"/>
      <c r="W47" s="144"/>
      <c r="X47" s="144"/>
      <c r="Y47" s="144"/>
      <c r="AA47" s="114">
        <f t="shared" si="3"/>
        <v>2.8587850782984162E-5</v>
      </c>
      <c r="AB47" s="114">
        <f t="shared" si="3"/>
        <v>2.3911734944087026E-5</v>
      </c>
      <c r="AC47" s="114">
        <f t="shared" si="3"/>
        <v>2.1449639029820956E-5</v>
      </c>
      <c r="AD47" s="114">
        <f t="shared" si="3"/>
        <v>1.9392916096724385E-5</v>
      </c>
      <c r="AE47" s="114">
        <f t="shared" si="3"/>
        <v>1.75175E-5</v>
      </c>
      <c r="AG47" s="132">
        <f t="shared" si="4"/>
        <v>1.1742808087357504E-2</v>
      </c>
      <c r="AH47" s="132">
        <f t="shared" si="4"/>
        <v>-4.5788797044710172E-4</v>
      </c>
      <c r="AI47" s="132">
        <f t="shared" si="4"/>
        <v>-3.6851595498234024E-3</v>
      </c>
      <c r="AJ47" s="132">
        <f t="shared" si="4"/>
        <v>3.9900963090797603E-3</v>
      </c>
      <c r="AL47" s="114">
        <f t="shared" si="5"/>
        <v>1.7040538736123812E-2</v>
      </c>
      <c r="AM47" s="114">
        <f t="shared" si="5"/>
        <v>-6.5332958883285717E-4</v>
      </c>
      <c r="AN47" s="114">
        <f t="shared" si="5"/>
        <v>-5.2615441530556861E-3</v>
      </c>
      <c r="AO47" s="114">
        <f t="shared" si="5"/>
        <v>5.7270555333599465E-3</v>
      </c>
    </row>
    <row r="48" spans="1:41" ht="17.25" customHeight="1" thickBot="1" x14ac:dyDescent="0.35">
      <c r="A48" s="111" t="s">
        <v>167</v>
      </c>
      <c r="B48" s="112"/>
      <c r="C48" s="112"/>
      <c r="D48" s="112"/>
      <c r="E48" s="112"/>
      <c r="F48" s="112"/>
      <c r="G48" s="113">
        <f>G14</f>
        <v>15807</v>
      </c>
      <c r="H48" s="113">
        <f>H14</f>
        <v>19681</v>
      </c>
      <c r="I48" s="113">
        <f>I14</f>
        <v>21927</v>
      </c>
      <c r="J48" s="113">
        <f>J14</f>
        <v>23996</v>
      </c>
      <c r="K48" s="113">
        <f>K14</f>
        <v>26808</v>
      </c>
      <c r="L48" s="143"/>
      <c r="M48" s="143"/>
      <c r="N48" s="143"/>
      <c r="O48" s="143"/>
      <c r="P48" s="143"/>
      <c r="Q48" s="143"/>
      <c r="R48" s="143"/>
      <c r="S48" s="143"/>
      <c r="T48" s="143"/>
      <c r="U48" s="143"/>
      <c r="V48" s="143"/>
      <c r="W48" s="143"/>
      <c r="X48" s="143"/>
      <c r="Y48" s="143"/>
      <c r="AA48" s="114">
        <f t="shared" si="3"/>
        <v>0.6557560672059739</v>
      </c>
      <c r="AB48" s="114">
        <f t="shared" si="3"/>
        <v>0.67147731149778234</v>
      </c>
      <c r="AC48" s="114">
        <f t="shared" si="3"/>
        <v>0.67151563409181392</v>
      </c>
      <c r="AD48" s="114">
        <f t="shared" si="3"/>
        <v>0.66792851973501088</v>
      </c>
      <c r="AE48" s="114">
        <f t="shared" si="3"/>
        <v>0.67020000000000002</v>
      </c>
      <c r="AG48" s="132">
        <f t="shared" si="4"/>
        <v>3874</v>
      </c>
      <c r="AH48" s="132">
        <f t="shared" si="4"/>
        <v>2246</v>
      </c>
      <c r="AI48" s="132">
        <f t="shared" si="4"/>
        <v>2069</v>
      </c>
      <c r="AJ48" s="132">
        <f t="shared" si="4"/>
        <v>2812</v>
      </c>
      <c r="AL48" s="114">
        <f t="shared" si="5"/>
        <v>0.24508129309799456</v>
      </c>
      <c r="AM48" s="114">
        <f t="shared" si="5"/>
        <v>0.11412021746862457</v>
      </c>
      <c r="AN48" s="114">
        <f t="shared" si="5"/>
        <v>9.4358553381675564E-2</v>
      </c>
      <c r="AO48" s="114">
        <f t="shared" si="5"/>
        <v>0.11718619769961661</v>
      </c>
    </row>
  </sheetData>
  <mergeCells count="5">
    <mergeCell ref="A1:A2"/>
    <mergeCell ref="AA1:AE1"/>
    <mergeCell ref="AG1:AJ1"/>
    <mergeCell ref="AL1:AO1"/>
    <mergeCell ref="B44:K44"/>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5"/>
  <sheetViews>
    <sheetView showGridLines="0" workbookViewId="0">
      <pane ySplit="5" topLeftCell="A22" activePane="bottomLeft" state="frozen"/>
      <selection pane="bottomLeft" activeCell="B40" sqref="B40"/>
    </sheetView>
  </sheetViews>
  <sheetFormatPr baseColWidth="10" defaultColWidth="8.88671875" defaultRowHeight="14.4" x14ac:dyDescent="0.3"/>
  <cols>
    <col min="1" max="1" width="52" customWidth="1"/>
    <col min="2" max="2" width="21.88671875" bestFit="1" customWidth="1"/>
    <col min="3" max="3" width="62" customWidth="1"/>
  </cols>
  <sheetData>
    <row r="1" spans="1:6" ht="22.2" customHeight="1" x14ac:dyDescent="0.3">
      <c r="A1" s="39" t="s">
        <v>0</v>
      </c>
    </row>
    <row r="2" spans="1:6" x14ac:dyDescent="0.3">
      <c r="A2" s="183"/>
      <c r="B2" s="171"/>
      <c r="C2" s="171"/>
      <c r="D2" s="171"/>
      <c r="E2" s="171"/>
      <c r="F2" s="171"/>
    </row>
    <row r="4" spans="1:6" ht="16.2" customHeight="1" x14ac:dyDescent="0.3">
      <c r="A4" s="172" t="s">
        <v>1</v>
      </c>
      <c r="B4" s="173"/>
      <c r="C4" s="173"/>
    </row>
    <row r="5" spans="1:6" ht="28.2" customHeight="1" x14ac:dyDescent="0.3">
      <c r="A5" s="1" t="s">
        <v>2</v>
      </c>
      <c r="B5" s="1" t="s">
        <v>3</v>
      </c>
      <c r="C5" s="1" t="s">
        <v>4</v>
      </c>
    </row>
    <row r="6" spans="1:6" x14ac:dyDescent="0.3">
      <c r="A6" s="2" t="s">
        <v>5</v>
      </c>
      <c r="B6" s="3" t="s">
        <v>6</v>
      </c>
      <c r="C6" s="37" t="s">
        <v>7</v>
      </c>
    </row>
    <row r="7" spans="1:6" x14ac:dyDescent="0.3">
      <c r="A7" s="2" t="s">
        <v>8</v>
      </c>
      <c r="B7" s="3" t="s">
        <v>9</v>
      </c>
      <c r="C7" s="37" t="s">
        <v>10</v>
      </c>
    </row>
    <row r="8" spans="1:6" x14ac:dyDescent="0.3">
      <c r="A8" s="2" t="s">
        <v>11</v>
      </c>
      <c r="B8" s="3" t="s">
        <v>12</v>
      </c>
      <c r="C8" s="37" t="s">
        <v>13</v>
      </c>
    </row>
    <row r="10" spans="1:6" ht="16.2" customHeight="1" x14ac:dyDescent="0.3">
      <c r="A10" s="172" t="s">
        <v>213</v>
      </c>
      <c r="B10" s="173"/>
      <c r="C10" s="173"/>
    </row>
    <row r="11" spans="1:6" ht="28.2" customHeight="1" x14ac:dyDescent="0.3">
      <c r="A11" s="1" t="s">
        <v>2</v>
      </c>
      <c r="B11" s="1" t="s">
        <v>3</v>
      </c>
      <c r="C11" s="1" t="s">
        <v>4</v>
      </c>
    </row>
    <row r="12" spans="1:6" x14ac:dyDescent="0.3">
      <c r="A12" s="2" t="s">
        <v>14</v>
      </c>
      <c r="B12" s="40">
        <v>35926</v>
      </c>
      <c r="C12" s="36" t="s">
        <v>15</v>
      </c>
    </row>
    <row r="13" spans="1:6" x14ac:dyDescent="0.3">
      <c r="A13" s="2" t="s">
        <v>16</v>
      </c>
      <c r="B13" s="40">
        <v>40000</v>
      </c>
      <c r="C13" s="36" t="s">
        <v>15</v>
      </c>
    </row>
    <row r="14" spans="1:6" x14ac:dyDescent="0.3">
      <c r="A14" s="2" t="s">
        <v>17</v>
      </c>
      <c r="B14" s="40">
        <v>26808</v>
      </c>
      <c r="C14" s="36" t="s">
        <v>18</v>
      </c>
    </row>
    <row r="15" spans="1:6" x14ac:dyDescent="0.3">
      <c r="A15" s="2" t="s">
        <v>19</v>
      </c>
      <c r="B15" s="42">
        <f>$B$14/$B$13</f>
        <v>0.67020000000000002</v>
      </c>
      <c r="C15" s="36" t="s">
        <v>20</v>
      </c>
    </row>
    <row r="16" spans="1:6" x14ac:dyDescent="0.3">
      <c r="A16" s="2" t="s">
        <v>21</v>
      </c>
      <c r="B16" s="40">
        <v>1220</v>
      </c>
      <c r="C16" s="36" t="s">
        <v>22</v>
      </c>
    </row>
    <row r="17" spans="1:3" x14ac:dyDescent="0.3">
      <c r="A17" s="2" t="s">
        <v>23</v>
      </c>
      <c r="B17" s="42">
        <f>$B$16/$B$13</f>
        <v>3.0499999999999999E-2</v>
      </c>
      <c r="C17" s="36" t="s">
        <v>24</v>
      </c>
    </row>
    <row r="18" spans="1:3" ht="40.200000000000003" x14ac:dyDescent="0.3">
      <c r="A18" s="2" t="s">
        <v>25</v>
      </c>
      <c r="B18" s="40">
        <v>1482</v>
      </c>
      <c r="C18" s="36" t="s">
        <v>26</v>
      </c>
    </row>
    <row r="19" spans="1:3" x14ac:dyDescent="0.3">
      <c r="A19" s="2" t="s">
        <v>27</v>
      </c>
      <c r="B19" s="42">
        <f>$B$18/$B$13</f>
        <v>3.705E-2</v>
      </c>
      <c r="C19" s="36" t="s">
        <v>28</v>
      </c>
    </row>
    <row r="20" spans="1:3" x14ac:dyDescent="0.3">
      <c r="A20" s="2" t="s">
        <v>29</v>
      </c>
      <c r="B20" s="40">
        <v>7317</v>
      </c>
      <c r="C20" s="36" t="s">
        <v>30</v>
      </c>
    </row>
    <row r="21" spans="1:3" x14ac:dyDescent="0.3">
      <c r="A21" s="2" t="s">
        <v>31</v>
      </c>
      <c r="B21" s="40">
        <v>555</v>
      </c>
      <c r="C21" s="36" t="s">
        <v>30</v>
      </c>
    </row>
    <row r="22" spans="1:3" x14ac:dyDescent="0.3">
      <c r="A22" s="2" t="s">
        <v>32</v>
      </c>
      <c r="B22" s="41">
        <f>$B$20-$B$21</f>
        <v>6762</v>
      </c>
      <c r="C22" s="35"/>
    </row>
    <row r="23" spans="1:3" x14ac:dyDescent="0.3">
      <c r="A23" s="2" t="s">
        <v>33</v>
      </c>
      <c r="B23" s="42">
        <f>$B$22/$B$13</f>
        <v>0.16905000000000001</v>
      </c>
      <c r="C23" s="36" t="s">
        <v>34</v>
      </c>
    </row>
    <row r="24" spans="1:3" x14ac:dyDescent="0.3">
      <c r="A24" s="2" t="s">
        <v>35</v>
      </c>
      <c r="B24" s="43">
        <v>0.17095099999999999</v>
      </c>
      <c r="C24" s="36" t="s">
        <v>36</v>
      </c>
    </row>
    <row r="25" spans="1:3" x14ac:dyDescent="0.3">
      <c r="A25" s="2" t="s">
        <v>37</v>
      </c>
      <c r="B25" s="40">
        <v>26084</v>
      </c>
      <c r="C25" s="36" t="s">
        <v>38</v>
      </c>
    </row>
    <row r="26" spans="1:3" x14ac:dyDescent="0.3">
      <c r="A26" s="2" t="s">
        <v>39</v>
      </c>
      <c r="B26" s="40">
        <v>17164</v>
      </c>
      <c r="C26" s="36" t="s">
        <v>30</v>
      </c>
    </row>
    <row r="27" spans="1:3" x14ac:dyDescent="0.3">
      <c r="A27" s="2" t="s">
        <v>40</v>
      </c>
      <c r="B27" s="41">
        <f>$B$25-$B$26</f>
        <v>8920</v>
      </c>
      <c r="C27" s="35"/>
    </row>
    <row r="28" spans="1:3" x14ac:dyDescent="0.3">
      <c r="A28" s="2" t="s">
        <v>41</v>
      </c>
      <c r="B28" s="40">
        <v>1966</v>
      </c>
      <c r="C28" s="36" t="s">
        <v>42</v>
      </c>
    </row>
    <row r="29" spans="1:3" x14ac:dyDescent="0.3">
      <c r="A29" s="2" t="s">
        <v>43</v>
      </c>
      <c r="B29" s="40">
        <v>223.6465</v>
      </c>
      <c r="C29" s="36" t="s">
        <v>44</v>
      </c>
    </row>
    <row r="31" spans="1:3" ht="16.2" customHeight="1" x14ac:dyDescent="0.3">
      <c r="A31" s="172" t="s">
        <v>212</v>
      </c>
      <c r="B31" s="173"/>
      <c r="C31" s="173"/>
    </row>
    <row r="32" spans="1:3" ht="28.2" customHeight="1" x14ac:dyDescent="0.3">
      <c r="A32" s="1" t="s">
        <v>2</v>
      </c>
      <c r="B32" s="1" t="s">
        <v>3</v>
      </c>
      <c r="C32" s="1" t="s">
        <v>4</v>
      </c>
    </row>
    <row r="33" spans="1:3" ht="27" x14ac:dyDescent="0.3">
      <c r="A33" s="2" t="s">
        <v>45</v>
      </c>
      <c r="B33" s="11">
        <v>0.11</v>
      </c>
      <c r="C33" s="37" t="s">
        <v>46</v>
      </c>
    </row>
    <row r="34" spans="1:3" ht="27" x14ac:dyDescent="0.3">
      <c r="A34" s="2" t="s">
        <v>47</v>
      </c>
      <c r="B34" s="11">
        <v>0.105</v>
      </c>
      <c r="C34" s="37" t="s">
        <v>48</v>
      </c>
    </row>
    <row r="35" spans="1:3" ht="27" x14ac:dyDescent="0.3">
      <c r="A35" s="2" t="s">
        <v>49</v>
      </c>
      <c r="B35" s="11">
        <v>9.5000000000000001E-2</v>
      </c>
      <c r="C35" s="37" t="s">
        <v>50</v>
      </c>
    </row>
    <row r="36" spans="1:3" x14ac:dyDescent="0.3">
      <c r="A36" s="2" t="s">
        <v>51</v>
      </c>
      <c r="B36" s="11">
        <v>0.09</v>
      </c>
      <c r="C36" s="37" t="s">
        <v>52</v>
      </c>
    </row>
    <row r="37" spans="1:3" x14ac:dyDescent="0.3">
      <c r="A37" s="2" t="s">
        <v>53</v>
      </c>
      <c r="B37" s="11">
        <v>8.5000000000000006E-2</v>
      </c>
      <c r="C37" s="37" t="s">
        <v>52</v>
      </c>
    </row>
    <row r="38" spans="1:3" ht="40.200000000000003" x14ac:dyDescent="0.3">
      <c r="A38" s="2" t="s">
        <v>54</v>
      </c>
      <c r="B38" s="12">
        <f>$B$15</f>
        <v>0.67020000000000002</v>
      </c>
      <c r="C38" s="37" t="s">
        <v>55</v>
      </c>
    </row>
    <row r="39" spans="1:3" ht="27" x14ac:dyDescent="0.3">
      <c r="A39" s="2" t="s">
        <v>56</v>
      </c>
      <c r="B39" s="12">
        <f>$B$17</f>
        <v>3.0499999999999999E-2</v>
      </c>
      <c r="C39" s="37" t="s">
        <v>57</v>
      </c>
    </row>
    <row r="40" spans="1:3" ht="27" x14ac:dyDescent="0.3">
      <c r="A40" s="2" t="s">
        <v>58</v>
      </c>
      <c r="B40" s="12">
        <f>$B$19</f>
        <v>3.705E-2</v>
      </c>
      <c r="C40" s="37" t="s">
        <v>59</v>
      </c>
    </row>
    <row r="41" spans="1:3" ht="27" x14ac:dyDescent="0.3">
      <c r="A41" s="2" t="s">
        <v>60</v>
      </c>
      <c r="B41" s="12">
        <f>$B$23</f>
        <v>0.16905000000000001</v>
      </c>
      <c r="C41" s="37" t="s">
        <v>61</v>
      </c>
    </row>
    <row r="42" spans="1:3" x14ac:dyDescent="0.3">
      <c r="A42" s="2" t="s">
        <v>62</v>
      </c>
      <c r="B42" s="13">
        <f>$B$24</f>
        <v>0.17095099999999999</v>
      </c>
      <c r="C42" s="37" t="s">
        <v>63</v>
      </c>
    </row>
    <row r="43" spans="1:3" x14ac:dyDescent="0.3">
      <c r="A43" s="2" t="s">
        <v>64</v>
      </c>
      <c r="B43" s="14">
        <v>6.4487000000000003E-2</v>
      </c>
      <c r="C43" s="37" t="s">
        <v>65</v>
      </c>
    </row>
    <row r="44" spans="1:3" x14ac:dyDescent="0.3">
      <c r="A44" s="2" t="s">
        <v>66</v>
      </c>
      <c r="B44" s="14">
        <v>7.4676999999999993E-2</v>
      </c>
      <c r="C44" s="37" t="s">
        <v>67</v>
      </c>
    </row>
    <row r="45" spans="1:3" ht="40.200000000000003" x14ac:dyDescent="0.3">
      <c r="A45" s="2" t="s">
        <v>68</v>
      </c>
      <c r="B45" s="11">
        <v>0.03</v>
      </c>
      <c r="C45" s="37" t="s">
        <v>69</v>
      </c>
    </row>
  </sheetData>
  <mergeCells count="4">
    <mergeCell ref="A10:C10"/>
    <mergeCell ref="A2:F2"/>
    <mergeCell ref="A31:C31"/>
    <mergeCell ref="A4:C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8"/>
  <sheetViews>
    <sheetView showGridLines="0" topLeftCell="A37" workbookViewId="0">
      <selection activeCell="K50" sqref="K50"/>
    </sheetView>
  </sheetViews>
  <sheetFormatPr baseColWidth="10" defaultColWidth="8.88671875" defaultRowHeight="14.4" x14ac:dyDescent="0.3"/>
  <cols>
    <col min="1" max="1" width="46.109375" customWidth="1"/>
    <col min="2" max="6" width="13" customWidth="1"/>
  </cols>
  <sheetData>
    <row r="1" spans="1:3" ht="17.399999999999999" x14ac:dyDescent="0.3">
      <c r="A1" s="39" t="s">
        <v>0</v>
      </c>
    </row>
    <row r="3" spans="1:3" x14ac:dyDescent="0.3">
      <c r="A3" s="91" t="s">
        <v>213</v>
      </c>
      <c r="B3" s="91"/>
      <c r="C3" s="84"/>
    </row>
    <row r="4" spans="1:3" x14ac:dyDescent="0.3">
      <c r="A4" s="155" t="s">
        <v>14</v>
      </c>
      <c r="B4" s="46">
        <v>35926</v>
      </c>
    </row>
    <row r="5" spans="1:3" x14ac:dyDescent="0.3">
      <c r="A5" s="156" t="s">
        <v>16</v>
      </c>
      <c r="B5" s="48">
        <v>40000</v>
      </c>
    </row>
    <row r="6" spans="1:3" x14ac:dyDescent="0.3">
      <c r="A6" s="156" t="s">
        <v>17</v>
      </c>
      <c r="B6" s="48">
        <v>26808</v>
      </c>
    </row>
    <row r="7" spans="1:3" x14ac:dyDescent="0.3">
      <c r="A7" s="156" t="s">
        <v>19</v>
      </c>
      <c r="B7" s="157">
        <f>+B6/B5</f>
        <v>0.67020000000000002</v>
      </c>
    </row>
    <row r="8" spans="1:3" x14ac:dyDescent="0.3">
      <c r="A8" s="156" t="s">
        <v>21</v>
      </c>
      <c r="B8" s="48">
        <v>1220</v>
      </c>
    </row>
    <row r="9" spans="1:3" x14ac:dyDescent="0.3">
      <c r="A9" s="156" t="s">
        <v>23</v>
      </c>
      <c r="B9" s="157">
        <f>+B8/B5</f>
        <v>3.0499999999999999E-2</v>
      </c>
    </row>
    <row r="10" spans="1:3" x14ac:dyDescent="0.3">
      <c r="A10" s="156" t="s">
        <v>25</v>
      </c>
      <c r="B10" s="48">
        <v>1482</v>
      </c>
    </row>
    <row r="11" spans="1:3" x14ac:dyDescent="0.3">
      <c r="A11" s="156" t="s">
        <v>27</v>
      </c>
      <c r="B11" s="157">
        <f>+B10/B5</f>
        <v>3.705E-2</v>
      </c>
    </row>
    <row r="12" spans="1:3" x14ac:dyDescent="0.3">
      <c r="A12" s="156" t="s">
        <v>29</v>
      </c>
      <c r="B12" s="48">
        <v>7317</v>
      </c>
    </row>
    <row r="13" spans="1:3" x14ac:dyDescent="0.3">
      <c r="A13" s="156" t="s">
        <v>31</v>
      </c>
      <c r="B13" s="48">
        <v>555</v>
      </c>
    </row>
    <row r="14" spans="1:3" x14ac:dyDescent="0.3">
      <c r="A14" s="156" t="s">
        <v>32</v>
      </c>
      <c r="B14" s="48">
        <f>+B12-B13</f>
        <v>6762</v>
      </c>
    </row>
    <row r="15" spans="1:3" x14ac:dyDescent="0.3">
      <c r="A15" s="156" t="s">
        <v>33</v>
      </c>
      <c r="B15" s="157">
        <f>+B14/B5</f>
        <v>0.16905000000000001</v>
      </c>
    </row>
    <row r="16" spans="1:3" x14ac:dyDescent="0.3">
      <c r="A16" s="156" t="s">
        <v>35</v>
      </c>
      <c r="B16" s="157">
        <v>0.17095099999999999</v>
      </c>
    </row>
    <row r="17" spans="1:6" x14ac:dyDescent="0.3">
      <c r="A17" s="156" t="s">
        <v>37</v>
      </c>
      <c r="B17" s="48">
        <v>26084</v>
      </c>
    </row>
    <row r="18" spans="1:6" x14ac:dyDescent="0.3">
      <c r="A18" s="156" t="s">
        <v>39</v>
      </c>
      <c r="B18" s="48">
        <v>17164</v>
      </c>
    </row>
    <row r="19" spans="1:6" x14ac:dyDescent="0.3">
      <c r="A19" s="156" t="s">
        <v>40</v>
      </c>
      <c r="B19" s="48">
        <f>+B17-B18</f>
        <v>8920</v>
      </c>
    </row>
    <row r="20" spans="1:6" x14ac:dyDescent="0.3">
      <c r="A20" s="156" t="s">
        <v>41</v>
      </c>
      <c r="B20" s="48">
        <v>1966</v>
      </c>
    </row>
    <row r="21" spans="1:6" x14ac:dyDescent="0.3">
      <c r="A21" s="158" t="s">
        <v>43</v>
      </c>
      <c r="B21" s="51">
        <v>223.6465</v>
      </c>
    </row>
    <row r="23" spans="1:6" ht="22.2" customHeight="1" x14ac:dyDescent="0.3">
      <c r="A23" s="170" t="s">
        <v>70</v>
      </c>
      <c r="B23" s="171"/>
      <c r="C23" s="171"/>
      <c r="D23" s="171"/>
      <c r="E23" s="171"/>
      <c r="F23" s="171"/>
    </row>
    <row r="25" spans="1:6" ht="16.2" customHeight="1" x14ac:dyDescent="0.3">
      <c r="A25" s="172" t="s">
        <v>214</v>
      </c>
      <c r="B25" s="173"/>
      <c r="C25" s="173"/>
      <c r="D25" s="173"/>
      <c r="E25" s="173"/>
      <c r="F25" s="173"/>
    </row>
    <row r="26" spans="1:6" ht="28.2" customHeight="1" x14ac:dyDescent="0.3">
      <c r="A26" s="91" t="s">
        <v>2</v>
      </c>
      <c r="B26" s="92" t="s">
        <v>71</v>
      </c>
      <c r="C26" s="92" t="s">
        <v>72</v>
      </c>
      <c r="D26" s="92" t="s">
        <v>73</v>
      </c>
      <c r="E26" s="92" t="s">
        <v>74</v>
      </c>
      <c r="F26" s="93" t="s">
        <v>75</v>
      </c>
    </row>
    <row r="27" spans="1:6" x14ac:dyDescent="0.3">
      <c r="A27" s="47" t="s">
        <v>76</v>
      </c>
      <c r="B27" s="88">
        <v>24105</v>
      </c>
      <c r="C27" s="88">
        <v>29310</v>
      </c>
      <c r="D27" s="88">
        <v>32653</v>
      </c>
      <c r="E27" s="88">
        <v>35926</v>
      </c>
      <c r="F27" s="48">
        <v>40000</v>
      </c>
    </row>
    <row r="28" spans="1:6" x14ac:dyDescent="0.3">
      <c r="A28" s="47" t="s">
        <v>77</v>
      </c>
      <c r="B28" s="88">
        <v>15807</v>
      </c>
      <c r="C28" s="88">
        <v>19681</v>
      </c>
      <c r="D28" s="88">
        <v>21927</v>
      </c>
      <c r="E28" s="88">
        <v>23996</v>
      </c>
      <c r="F28" s="48">
        <v>26808</v>
      </c>
    </row>
    <row r="29" spans="1:6" x14ac:dyDescent="0.3">
      <c r="A29" s="47" t="s">
        <v>78</v>
      </c>
      <c r="B29" s="88">
        <v>16611</v>
      </c>
      <c r="C29" s="88">
        <v>20542</v>
      </c>
      <c r="D29" s="88">
        <v>22870</v>
      </c>
      <c r="E29" s="88">
        <v>25030</v>
      </c>
      <c r="F29" s="48">
        <v>28028</v>
      </c>
    </row>
    <row r="30" spans="1:6" x14ac:dyDescent="0.3">
      <c r="A30" s="47" t="s">
        <v>79</v>
      </c>
      <c r="B30" s="89">
        <v>0.23358000000000001</v>
      </c>
      <c r="C30" s="89">
        <v>0.175287</v>
      </c>
      <c r="D30" s="89">
        <v>0.178923</v>
      </c>
      <c r="E30" s="89">
        <v>0.174486</v>
      </c>
      <c r="F30" s="49">
        <v>0.17095099999999999</v>
      </c>
    </row>
    <row r="31" spans="1:6" x14ac:dyDescent="0.3">
      <c r="A31" s="47" t="s">
        <v>80</v>
      </c>
      <c r="B31" s="88">
        <v>705</v>
      </c>
      <c r="C31" s="88">
        <v>970</v>
      </c>
      <c r="D31" s="88">
        <v>1059</v>
      </c>
      <c r="E31" s="88">
        <v>1257</v>
      </c>
      <c r="F31" s="48">
        <v>1482</v>
      </c>
    </row>
    <row r="32" spans="1:6" x14ac:dyDescent="0.3">
      <c r="A32" s="47" t="s">
        <v>81</v>
      </c>
      <c r="B32" s="88">
        <v>3726</v>
      </c>
      <c r="C32" s="88">
        <v>3952</v>
      </c>
      <c r="D32" s="88">
        <v>4474</v>
      </c>
      <c r="E32" s="88">
        <v>7015</v>
      </c>
      <c r="F32" s="48">
        <v>7317</v>
      </c>
    </row>
    <row r="33" spans="1:6" x14ac:dyDescent="0.3">
      <c r="A33" s="47" t="s">
        <v>82</v>
      </c>
      <c r="B33" s="90">
        <v>0</v>
      </c>
      <c r="C33" s="90">
        <v>0</v>
      </c>
      <c r="D33" s="90">
        <v>0</v>
      </c>
      <c r="E33" s="90">
        <v>0</v>
      </c>
      <c r="F33" s="50">
        <v>0</v>
      </c>
    </row>
    <row r="34" spans="1:6" x14ac:dyDescent="0.3">
      <c r="A34" s="94" t="s">
        <v>83</v>
      </c>
      <c r="B34" s="95">
        <v>266</v>
      </c>
      <c r="C34" s="95">
        <v>340</v>
      </c>
      <c r="D34" s="95">
        <v>375</v>
      </c>
      <c r="E34" s="95">
        <v>479</v>
      </c>
      <c r="F34" s="51">
        <v>555</v>
      </c>
    </row>
    <row r="36" spans="1:6" ht="16.2" customHeight="1" x14ac:dyDescent="0.3">
      <c r="A36" s="172" t="s">
        <v>84</v>
      </c>
      <c r="B36" s="173"/>
      <c r="C36" s="173"/>
      <c r="D36" s="173"/>
      <c r="E36" s="173"/>
      <c r="F36" s="173"/>
    </row>
    <row r="37" spans="1:6" ht="28.2" customHeight="1" x14ac:dyDescent="0.3">
      <c r="A37" s="44" t="s">
        <v>2</v>
      </c>
      <c r="B37" s="44" t="s">
        <v>71</v>
      </c>
      <c r="C37" s="44" t="s">
        <v>72</v>
      </c>
      <c r="D37" s="44" t="s">
        <v>73</v>
      </c>
      <c r="E37" s="44" t="s">
        <v>74</v>
      </c>
      <c r="F37" s="44" t="s">
        <v>75</v>
      </c>
    </row>
    <row r="38" spans="1:6" s="84" customFormat="1" x14ac:dyDescent="0.3">
      <c r="A38" s="57" t="s">
        <v>81</v>
      </c>
      <c r="B38" s="58">
        <f>+B32</f>
        <v>3726</v>
      </c>
      <c r="C38" s="58">
        <f t="shared" ref="C38:F38" si="0">+C32</f>
        <v>3952</v>
      </c>
      <c r="D38" s="58">
        <f t="shared" si="0"/>
        <v>4474</v>
      </c>
      <c r="E38" s="58">
        <f t="shared" si="0"/>
        <v>7015</v>
      </c>
      <c r="F38" s="59">
        <f t="shared" si="0"/>
        <v>7317</v>
      </c>
    </row>
    <row r="39" spans="1:6" s="84" customFormat="1" x14ac:dyDescent="0.3">
      <c r="A39" s="85" t="s">
        <v>217</v>
      </c>
      <c r="B39" s="86">
        <f>+B33</f>
        <v>0</v>
      </c>
      <c r="C39" s="86">
        <f t="shared" ref="C39:F39" si="1">+C33</f>
        <v>0</v>
      </c>
      <c r="D39" s="86">
        <f t="shared" si="1"/>
        <v>0</v>
      </c>
      <c r="E39" s="86">
        <f t="shared" si="1"/>
        <v>0</v>
      </c>
      <c r="F39" s="87">
        <f t="shared" si="1"/>
        <v>0</v>
      </c>
    </row>
    <row r="40" spans="1:6" s="84" customFormat="1" x14ac:dyDescent="0.3">
      <c r="A40" s="85" t="s">
        <v>218</v>
      </c>
      <c r="B40" s="86">
        <f>-B34</f>
        <v>-266</v>
      </c>
      <c r="C40" s="86">
        <f t="shared" ref="C40:F40" si="2">-C34</f>
        <v>-340</v>
      </c>
      <c r="D40" s="86">
        <f t="shared" si="2"/>
        <v>-375</v>
      </c>
      <c r="E40" s="86">
        <f t="shared" si="2"/>
        <v>-479</v>
      </c>
      <c r="F40" s="87">
        <f t="shared" si="2"/>
        <v>-555</v>
      </c>
    </row>
    <row r="41" spans="1:6" x14ac:dyDescent="0.3">
      <c r="A41" s="101" t="s">
        <v>85</v>
      </c>
      <c r="B41" s="102">
        <f>SUM(B38:B40)</f>
        <v>3460</v>
      </c>
      <c r="C41" s="102">
        <f t="shared" ref="C41:F41" si="3">SUM(C38:C40)</f>
        <v>3612</v>
      </c>
      <c r="D41" s="102">
        <f t="shared" si="3"/>
        <v>4099</v>
      </c>
      <c r="E41" s="102">
        <f t="shared" si="3"/>
        <v>6536</v>
      </c>
      <c r="F41" s="103">
        <f t="shared" si="3"/>
        <v>6762</v>
      </c>
    </row>
    <row r="42" spans="1:6" x14ac:dyDescent="0.3">
      <c r="A42" s="60" t="s">
        <v>86</v>
      </c>
      <c r="B42" s="61"/>
      <c r="C42" s="62">
        <f>C41-B41</f>
        <v>152</v>
      </c>
      <c r="D42" s="62">
        <f>D41-C41</f>
        <v>487</v>
      </c>
      <c r="E42" s="62">
        <f>E41-D41</f>
        <v>2437</v>
      </c>
      <c r="F42" s="63">
        <f>F41-E41</f>
        <v>226</v>
      </c>
    </row>
    <row r="44" spans="1:6" ht="16.2" customHeight="1" x14ac:dyDescent="0.3">
      <c r="A44" s="172" t="s">
        <v>87</v>
      </c>
      <c r="B44" s="173"/>
      <c r="C44" s="173"/>
      <c r="D44" s="173"/>
      <c r="E44" s="173"/>
      <c r="F44" s="173"/>
    </row>
    <row r="45" spans="1:6" ht="28.2" customHeight="1" x14ac:dyDescent="0.3">
      <c r="A45" s="44" t="s">
        <v>2</v>
      </c>
      <c r="B45" s="44" t="s">
        <v>71</v>
      </c>
      <c r="C45" s="44" t="s">
        <v>72</v>
      </c>
      <c r="D45" s="44" t="s">
        <v>73</v>
      </c>
      <c r="E45" s="44" t="s">
        <v>74</v>
      </c>
      <c r="F45" s="44" t="s">
        <v>75</v>
      </c>
    </row>
    <row r="46" spans="1:6" x14ac:dyDescent="0.3">
      <c r="A46" s="45" t="s">
        <v>77</v>
      </c>
      <c r="B46" s="148">
        <f>+B28</f>
        <v>15807</v>
      </c>
      <c r="C46" s="148">
        <f t="shared" ref="C46:F46" si="4">+C28</f>
        <v>19681</v>
      </c>
      <c r="D46" s="148">
        <f t="shared" si="4"/>
        <v>21927</v>
      </c>
      <c r="E46" s="148">
        <f t="shared" si="4"/>
        <v>23996</v>
      </c>
      <c r="F46" s="149">
        <f t="shared" si="4"/>
        <v>26808</v>
      </c>
    </row>
    <row r="47" spans="1:6" x14ac:dyDescent="0.3">
      <c r="A47" s="47" t="s">
        <v>88</v>
      </c>
      <c r="B47" s="96">
        <f>-B46*B30</f>
        <v>-3692.1990600000004</v>
      </c>
      <c r="C47" s="96">
        <f>-C46*C30</f>
        <v>-3449.8234469999998</v>
      </c>
      <c r="D47" s="96">
        <f>-D46*D30</f>
        <v>-3923.2446209999998</v>
      </c>
      <c r="E47" s="96">
        <f>-E46*E30</f>
        <v>-4186.9660560000002</v>
      </c>
      <c r="F47" s="54">
        <f>-F46*F30</f>
        <v>-4582.8544080000001</v>
      </c>
    </row>
    <row r="48" spans="1:6" x14ac:dyDescent="0.3">
      <c r="A48" s="52" t="s">
        <v>89</v>
      </c>
      <c r="B48" s="97">
        <f>B46+B47</f>
        <v>12114.800939999999</v>
      </c>
      <c r="C48" s="97">
        <f t="shared" ref="C48:F48" si="5">C46+C47</f>
        <v>16231.176553000001</v>
      </c>
      <c r="D48" s="97">
        <f t="shared" si="5"/>
        <v>18003.755379000002</v>
      </c>
      <c r="E48" s="97">
        <f t="shared" si="5"/>
        <v>19809.033943999999</v>
      </c>
      <c r="F48" s="97">
        <f t="shared" si="5"/>
        <v>22225.145592000001</v>
      </c>
    </row>
    <row r="49" spans="1:6" x14ac:dyDescent="0.3">
      <c r="A49" s="47" t="s">
        <v>90</v>
      </c>
      <c r="B49" s="96">
        <f>B29-B28</f>
        <v>804</v>
      </c>
      <c r="C49" s="96">
        <f>C29-C28</f>
        <v>861</v>
      </c>
      <c r="D49" s="96">
        <f>D29-D28</f>
        <v>943</v>
      </c>
      <c r="E49" s="96">
        <f>E29-E28</f>
        <v>1034</v>
      </c>
      <c r="F49" s="54">
        <f>F29-F28</f>
        <v>1220</v>
      </c>
    </row>
    <row r="50" spans="1:6" x14ac:dyDescent="0.3">
      <c r="A50" s="52" t="s">
        <v>334</v>
      </c>
      <c r="B50" s="97">
        <f>B48+B49</f>
        <v>12918.800939999999</v>
      </c>
      <c r="C50" s="97">
        <f>C48+C49</f>
        <v>17092.176553000001</v>
      </c>
      <c r="D50" s="97">
        <f>D48+D49</f>
        <v>18946.755379000002</v>
      </c>
      <c r="E50" s="97">
        <f>E48+E49</f>
        <v>20843.033943999999</v>
      </c>
      <c r="F50" s="53">
        <f>F48+F49</f>
        <v>23445.145592000001</v>
      </c>
    </row>
    <row r="51" spans="1:6" x14ac:dyDescent="0.3">
      <c r="A51" s="47" t="s">
        <v>91</v>
      </c>
      <c r="B51" s="98"/>
      <c r="C51" s="96">
        <f>-C42</f>
        <v>-152</v>
      </c>
      <c r="D51" s="96">
        <f>-D42</f>
        <v>-487</v>
      </c>
      <c r="E51" s="96">
        <f>-E42</f>
        <v>-2437</v>
      </c>
      <c r="F51" s="54">
        <f>-F42</f>
        <v>-226</v>
      </c>
    </row>
    <row r="52" spans="1:6" x14ac:dyDescent="0.3">
      <c r="A52" s="47" t="s">
        <v>92</v>
      </c>
      <c r="B52" s="96">
        <f>-B31</f>
        <v>-705</v>
      </c>
      <c r="C52" s="96">
        <f>-C31</f>
        <v>-970</v>
      </c>
      <c r="D52" s="96">
        <f>-D31</f>
        <v>-1059</v>
      </c>
      <c r="E52" s="96">
        <f>-E31</f>
        <v>-1257</v>
      </c>
      <c r="F52" s="54">
        <f>-F31</f>
        <v>-1482</v>
      </c>
    </row>
    <row r="53" spans="1:6" ht="18" customHeight="1" x14ac:dyDescent="0.3">
      <c r="A53" s="99" t="s">
        <v>93</v>
      </c>
      <c r="B53" s="100"/>
      <c r="C53" s="55">
        <f>C50+C51+C52</f>
        <v>15970.176553000001</v>
      </c>
      <c r="D53" s="55">
        <f>D50+D51+D52</f>
        <v>17400.755379000002</v>
      </c>
      <c r="E53" s="55">
        <f>E50+E51+E52</f>
        <v>17149.033943999999</v>
      </c>
      <c r="F53" s="56">
        <f>F50+F51+F52</f>
        <v>21737.145592000001</v>
      </c>
    </row>
    <row r="55" spans="1:6" ht="16.2" customHeight="1" x14ac:dyDescent="0.3">
      <c r="A55" s="172" t="s">
        <v>215</v>
      </c>
      <c r="B55" s="173"/>
      <c r="C55" s="173"/>
      <c r="D55" s="173"/>
      <c r="E55" s="173"/>
      <c r="F55" s="173"/>
    </row>
    <row r="56" spans="1:6" ht="28.2" customHeight="1" x14ac:dyDescent="0.3">
      <c r="A56" s="44" t="s">
        <v>2</v>
      </c>
      <c r="B56" s="44" t="s">
        <v>94</v>
      </c>
      <c r="C56" s="44" t="s">
        <v>95</v>
      </c>
      <c r="D56" s="44" t="s">
        <v>96</v>
      </c>
      <c r="E56" s="44" t="s">
        <v>97</v>
      </c>
    </row>
    <row r="57" spans="1:6" x14ac:dyDescent="0.3">
      <c r="A57" s="57" t="s">
        <v>98</v>
      </c>
      <c r="B57" s="64">
        <f>C27/B27-1</f>
        <v>0.21593030491599263</v>
      </c>
      <c r="C57" s="64">
        <f>D27/C27-1</f>
        <v>0.11405663596042315</v>
      </c>
      <c r="D57" s="64">
        <f>E27/D27-1</f>
        <v>0.10023581294214923</v>
      </c>
      <c r="E57" s="65">
        <f>F27/E27-1</f>
        <v>0.11339976618604908</v>
      </c>
    </row>
    <row r="58" spans="1:6" x14ac:dyDescent="0.3">
      <c r="A58" s="60" t="s">
        <v>99</v>
      </c>
      <c r="B58" s="61"/>
      <c r="C58" s="66">
        <f>D53/C53-1</f>
        <v>8.9578147195327418E-2</v>
      </c>
      <c r="D58" s="66">
        <f>E53/D53-1</f>
        <v>-1.4466121126200715E-2</v>
      </c>
      <c r="E58" s="67">
        <f>F53/E53-1</f>
        <v>0.26754344664442531</v>
      </c>
    </row>
  </sheetData>
  <mergeCells count="5">
    <mergeCell ref="A23:F23"/>
    <mergeCell ref="A25:F25"/>
    <mergeCell ref="A44:F44"/>
    <mergeCell ref="A55:F55"/>
    <mergeCell ref="A36:F36"/>
  </mergeCell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1"/>
  <sheetViews>
    <sheetView showGridLines="0" topLeftCell="A25" workbookViewId="0">
      <selection activeCell="H11" sqref="H11"/>
    </sheetView>
  </sheetViews>
  <sheetFormatPr baseColWidth="10" defaultColWidth="8.88671875" defaultRowHeight="14.4" x14ac:dyDescent="0.3"/>
  <cols>
    <col min="1" max="1" width="46" customWidth="1"/>
    <col min="2" max="7" width="13" customWidth="1"/>
  </cols>
  <sheetData>
    <row r="1" spans="1:7" ht="22.2" customHeight="1" x14ac:dyDescent="0.3">
      <c r="A1" s="170" t="s">
        <v>100</v>
      </c>
      <c r="B1" s="171"/>
      <c r="C1" s="171"/>
      <c r="D1" s="171"/>
      <c r="E1" s="171"/>
      <c r="F1" s="171"/>
      <c r="G1" s="171"/>
    </row>
    <row r="3" spans="1:7" ht="30" customHeight="1" x14ac:dyDescent="0.3">
      <c r="A3" s="184" t="s">
        <v>336</v>
      </c>
      <c r="B3" s="185"/>
      <c r="C3" s="84"/>
    </row>
    <row r="4" spans="1:7" x14ac:dyDescent="0.3">
      <c r="A4" s="161" t="s">
        <v>2</v>
      </c>
      <c r="B4" s="162" t="s">
        <v>3</v>
      </c>
    </row>
    <row r="5" spans="1:7" x14ac:dyDescent="0.3">
      <c r="A5" s="74" t="s">
        <v>45</v>
      </c>
      <c r="B5" s="75">
        <v>0.11</v>
      </c>
    </row>
    <row r="6" spans="1:7" x14ac:dyDescent="0.3">
      <c r="A6" s="74" t="s">
        <v>47</v>
      </c>
      <c r="B6" s="75">
        <v>0.105</v>
      </c>
    </row>
    <row r="7" spans="1:7" x14ac:dyDescent="0.3">
      <c r="A7" s="74" t="s">
        <v>49</v>
      </c>
      <c r="B7" s="75">
        <v>9.5000000000000001E-2</v>
      </c>
    </row>
    <row r="8" spans="1:7" x14ac:dyDescent="0.3">
      <c r="A8" s="74" t="s">
        <v>51</v>
      </c>
      <c r="B8" s="75">
        <v>0.09</v>
      </c>
    </row>
    <row r="9" spans="1:7" x14ac:dyDescent="0.3">
      <c r="A9" s="74" t="s">
        <v>53</v>
      </c>
      <c r="B9" s="75">
        <v>8.5000000000000006E-2</v>
      </c>
    </row>
    <row r="10" spans="1:7" x14ac:dyDescent="0.3">
      <c r="A10" s="74" t="s">
        <v>54</v>
      </c>
      <c r="B10" s="75">
        <f>+'FCL Histórico'!B7</f>
        <v>0.67020000000000002</v>
      </c>
    </row>
    <row r="11" spans="1:7" x14ac:dyDescent="0.3">
      <c r="A11" s="74" t="s">
        <v>56</v>
      </c>
      <c r="B11" s="75">
        <f>+'FCL Histórico'!B9</f>
        <v>3.0499999999999999E-2</v>
      </c>
    </row>
    <row r="12" spans="1:7" x14ac:dyDescent="0.3">
      <c r="A12" s="74" t="s">
        <v>58</v>
      </c>
      <c r="B12" s="75">
        <f>+'FCL Histórico'!B11</f>
        <v>3.705E-2</v>
      </c>
    </row>
    <row r="13" spans="1:7" x14ac:dyDescent="0.3">
      <c r="A13" s="74" t="s">
        <v>60</v>
      </c>
      <c r="B13" s="75">
        <f>+'FCL Histórico'!B15</f>
        <v>0.16905000000000001</v>
      </c>
    </row>
    <row r="14" spans="1:7" x14ac:dyDescent="0.3">
      <c r="A14" s="74" t="s">
        <v>62</v>
      </c>
      <c r="B14" s="163">
        <f>+'FCL Histórico'!B16</f>
        <v>0.17095099999999999</v>
      </c>
    </row>
    <row r="15" spans="1:7" x14ac:dyDescent="0.3">
      <c r="A15" s="74" t="s">
        <v>64</v>
      </c>
      <c r="B15" s="163">
        <v>6.4487000000000003E-2</v>
      </c>
    </row>
    <row r="16" spans="1:7" x14ac:dyDescent="0.3">
      <c r="A16" s="74" t="s">
        <v>66</v>
      </c>
      <c r="B16" s="163">
        <v>7.4676999999999993E-2</v>
      </c>
    </row>
    <row r="17" spans="1:7" x14ac:dyDescent="0.3">
      <c r="A17" s="164" t="s">
        <v>68</v>
      </c>
      <c r="B17" s="165">
        <v>0.03</v>
      </c>
    </row>
    <row r="20" spans="1:7" ht="16.2" customHeight="1" x14ac:dyDescent="0.3">
      <c r="A20" s="172" t="s">
        <v>101</v>
      </c>
      <c r="B20" s="173"/>
      <c r="C20" s="173"/>
      <c r="D20" s="173"/>
      <c r="E20" s="173"/>
      <c r="F20" s="173"/>
      <c r="G20" s="173"/>
    </row>
    <row r="21" spans="1:7" ht="28.2" customHeight="1" x14ac:dyDescent="0.3">
      <c r="A21" s="44" t="s">
        <v>2</v>
      </c>
      <c r="B21" s="44" t="s">
        <v>102</v>
      </c>
      <c r="C21" s="44" t="s">
        <v>103</v>
      </c>
      <c r="D21" s="44" t="s">
        <v>104</v>
      </c>
      <c r="E21" s="44" t="s">
        <v>105</v>
      </c>
      <c r="F21" s="44" t="s">
        <v>106</v>
      </c>
      <c r="G21" s="44" t="s">
        <v>107</v>
      </c>
    </row>
    <row r="22" spans="1:7" x14ac:dyDescent="0.3">
      <c r="A22" s="71" t="s">
        <v>76</v>
      </c>
      <c r="B22" s="72">
        <f>+'FCL Histórico'!F27</f>
        <v>40000</v>
      </c>
      <c r="C22" s="72">
        <f>B22*(1+B5)</f>
        <v>44400.000000000007</v>
      </c>
      <c r="D22" s="72">
        <f>C22*(1+B6)</f>
        <v>49062.000000000007</v>
      </c>
      <c r="E22" s="72">
        <f>D22*(1+B7)</f>
        <v>53722.890000000007</v>
      </c>
      <c r="F22" s="72">
        <f>E22*(1+B8)</f>
        <v>58557.950100000009</v>
      </c>
      <c r="G22" s="73">
        <f>F22*(1+B9)</f>
        <v>63535.375858500011</v>
      </c>
    </row>
    <row r="23" spans="1:7" x14ac:dyDescent="0.3">
      <c r="A23" s="74" t="s">
        <v>98</v>
      </c>
      <c r="B23" s="70"/>
      <c r="C23" s="159">
        <f>+B5</f>
        <v>0.11</v>
      </c>
      <c r="D23" s="159">
        <f>+B6</f>
        <v>0.105</v>
      </c>
      <c r="E23" s="159">
        <f>+B7</f>
        <v>9.5000000000000001E-2</v>
      </c>
      <c r="F23" s="159">
        <f>+B8</f>
        <v>0.09</v>
      </c>
      <c r="G23" s="75">
        <f>+B9</f>
        <v>8.5000000000000006E-2</v>
      </c>
    </row>
    <row r="24" spans="1:7" x14ac:dyDescent="0.3">
      <c r="A24" s="74" t="s">
        <v>333</v>
      </c>
      <c r="B24" s="69">
        <f>B22*$B$10</f>
        <v>26808</v>
      </c>
      <c r="C24" s="69">
        <f t="shared" ref="C24:G24" si="0">C22*$B$10</f>
        <v>29756.880000000005</v>
      </c>
      <c r="D24" s="69">
        <f t="shared" si="0"/>
        <v>32881.352400000003</v>
      </c>
      <c r="E24" s="69">
        <f t="shared" si="0"/>
        <v>36005.080878000008</v>
      </c>
      <c r="F24" s="69">
        <f t="shared" si="0"/>
        <v>39245.538157020004</v>
      </c>
      <c r="G24" s="76">
        <f t="shared" si="0"/>
        <v>42581.40890036671</v>
      </c>
    </row>
    <row r="25" spans="1:7" x14ac:dyDescent="0.3">
      <c r="A25" s="74" t="s">
        <v>88</v>
      </c>
      <c r="B25" s="69">
        <f>-B24*$B$14</f>
        <v>-4582.8544080000001</v>
      </c>
      <c r="C25" s="69">
        <f t="shared" ref="C25:G25" si="1">-C24*$B$14</f>
        <v>-5086.9683928800005</v>
      </c>
      <c r="D25" s="69">
        <f t="shared" si="1"/>
        <v>-5621.1000741324006</v>
      </c>
      <c r="E25" s="69">
        <f t="shared" si="1"/>
        <v>-6155.1045811749791</v>
      </c>
      <c r="F25" s="69">
        <f t="shared" si="1"/>
        <v>-6709.0639934807268</v>
      </c>
      <c r="G25" s="76">
        <f t="shared" si="1"/>
        <v>-7279.3344329265892</v>
      </c>
    </row>
    <row r="26" spans="1:7" x14ac:dyDescent="0.3">
      <c r="A26" s="77" t="s">
        <v>332</v>
      </c>
      <c r="B26" s="78">
        <f>B24+B25</f>
        <v>22225.145592000001</v>
      </c>
      <c r="C26" s="78">
        <f t="shared" ref="C26:G26" si="2">C24+C25</f>
        <v>24669.911607120004</v>
      </c>
      <c r="D26" s="78">
        <f t="shared" si="2"/>
        <v>27260.252325867601</v>
      </c>
      <c r="E26" s="78">
        <f t="shared" si="2"/>
        <v>29849.976296825029</v>
      </c>
      <c r="F26" s="78">
        <f t="shared" si="2"/>
        <v>32536.474163539278</v>
      </c>
      <c r="G26" s="79">
        <f t="shared" si="2"/>
        <v>35302.074467440121</v>
      </c>
    </row>
    <row r="29" spans="1:7" ht="16.2" customHeight="1" x14ac:dyDescent="0.3">
      <c r="A29" s="172" t="s">
        <v>108</v>
      </c>
      <c r="B29" s="173"/>
      <c r="C29" s="173"/>
      <c r="D29" s="173"/>
      <c r="E29" s="173"/>
      <c r="F29" s="173"/>
      <c r="G29" s="173"/>
    </row>
    <row r="30" spans="1:7" ht="28.2" customHeight="1" x14ac:dyDescent="0.3">
      <c r="A30" s="44" t="s">
        <v>2</v>
      </c>
      <c r="B30" s="44" t="s">
        <v>102</v>
      </c>
      <c r="C30" s="44" t="s">
        <v>103</v>
      </c>
      <c r="D30" s="44" t="s">
        <v>104</v>
      </c>
      <c r="E30" s="44" t="s">
        <v>105</v>
      </c>
      <c r="F30" s="44" t="s">
        <v>106</v>
      </c>
      <c r="G30" s="44" t="s">
        <v>107</v>
      </c>
    </row>
    <row r="31" spans="1:7" s="84" customFormat="1" x14ac:dyDescent="0.3">
      <c r="A31" s="68" t="s">
        <v>335</v>
      </c>
      <c r="B31" s="69">
        <f>+B26</f>
        <v>22225.145592000001</v>
      </c>
      <c r="C31" s="69">
        <f t="shared" ref="C31:G31" si="3">+C26</f>
        <v>24669.911607120004</v>
      </c>
      <c r="D31" s="69">
        <f t="shared" si="3"/>
        <v>27260.252325867601</v>
      </c>
      <c r="E31" s="69">
        <f t="shared" si="3"/>
        <v>29849.976296825029</v>
      </c>
      <c r="F31" s="69">
        <f t="shared" si="3"/>
        <v>32536.474163539278</v>
      </c>
      <c r="G31" s="69">
        <f t="shared" si="3"/>
        <v>35302.074467440121</v>
      </c>
    </row>
    <row r="32" spans="1:7" x14ac:dyDescent="0.3">
      <c r="A32" s="68" t="s">
        <v>109</v>
      </c>
      <c r="B32" s="69">
        <f>B22*$B$11</f>
        <v>1220</v>
      </c>
      <c r="C32" s="69">
        <f t="shared" ref="C32:G32" si="4">C22*$B$11</f>
        <v>1354.2000000000003</v>
      </c>
      <c r="D32" s="69">
        <f t="shared" si="4"/>
        <v>1496.3910000000001</v>
      </c>
      <c r="E32" s="69">
        <f t="shared" si="4"/>
        <v>1638.5481450000002</v>
      </c>
      <c r="F32" s="69">
        <f t="shared" si="4"/>
        <v>1786.0174780500001</v>
      </c>
      <c r="G32" s="69">
        <f t="shared" si="4"/>
        <v>1937.8289636842503</v>
      </c>
    </row>
    <row r="33" spans="1:7" x14ac:dyDescent="0.3">
      <c r="A33" s="150" t="s">
        <v>334</v>
      </c>
      <c r="B33" s="151">
        <f t="shared" ref="B33:G33" si="5">B26+B32</f>
        <v>23445.145592000001</v>
      </c>
      <c r="C33" s="151">
        <f t="shared" si="5"/>
        <v>26024.111607120005</v>
      </c>
      <c r="D33" s="151">
        <f t="shared" si="5"/>
        <v>28756.643325867601</v>
      </c>
      <c r="E33" s="151">
        <f t="shared" si="5"/>
        <v>31488.524441825029</v>
      </c>
      <c r="F33" s="151">
        <f t="shared" si="5"/>
        <v>34322.49164158928</v>
      </c>
      <c r="G33" s="151">
        <f t="shared" si="5"/>
        <v>37239.903431124374</v>
      </c>
    </row>
    <row r="34" spans="1:7" x14ac:dyDescent="0.3">
      <c r="A34" s="68" t="s">
        <v>110</v>
      </c>
      <c r="B34" s="69">
        <f>+'FCL Histórico'!B14</f>
        <v>6762</v>
      </c>
      <c r="C34" s="69">
        <f>C22*$B$13</f>
        <v>7505.8200000000015</v>
      </c>
      <c r="D34" s="69">
        <f t="shared" ref="D34:G34" si="6">D22*$B$13</f>
        <v>8293.9311000000016</v>
      </c>
      <c r="E34" s="69">
        <f t="shared" si="6"/>
        <v>9081.8545545000015</v>
      </c>
      <c r="F34" s="69">
        <f t="shared" si="6"/>
        <v>9899.2214644050018</v>
      </c>
      <c r="G34" s="69">
        <f t="shared" si="6"/>
        <v>10740.655288879427</v>
      </c>
    </row>
    <row r="35" spans="1:7" x14ac:dyDescent="0.3">
      <c r="A35" s="68" t="s">
        <v>111</v>
      </c>
      <c r="B35" s="152"/>
      <c r="C35" s="69">
        <f>-(C34-B34)</f>
        <v>-743.82000000000153</v>
      </c>
      <c r="D35" s="69">
        <f>-(D34-C34)</f>
        <v>-788.11110000000008</v>
      </c>
      <c r="E35" s="69">
        <f>-(E34-D34)</f>
        <v>-787.92345449999993</v>
      </c>
      <c r="F35" s="69">
        <f>-(F34-E34)</f>
        <v>-817.36690990500028</v>
      </c>
      <c r="G35" s="69">
        <f>-(G34-F34)</f>
        <v>-841.43382447442491</v>
      </c>
    </row>
    <row r="36" spans="1:7" x14ac:dyDescent="0.3">
      <c r="A36" s="68" t="s">
        <v>112</v>
      </c>
      <c r="B36" s="70"/>
      <c r="C36" s="69">
        <f>-C22*$B$12</f>
        <v>-1645.0200000000002</v>
      </c>
      <c r="D36" s="69">
        <f t="shared" ref="D36:G36" si="7">-D22*$B$12</f>
        <v>-1817.7471000000003</v>
      </c>
      <c r="E36" s="69">
        <f t="shared" si="7"/>
        <v>-1990.4330745000002</v>
      </c>
      <c r="F36" s="69">
        <f t="shared" si="7"/>
        <v>-2169.5720512050002</v>
      </c>
      <c r="G36" s="69">
        <f t="shared" si="7"/>
        <v>-2353.9856755574256</v>
      </c>
    </row>
    <row r="37" spans="1:7" ht="18" customHeight="1" x14ac:dyDescent="0.3">
      <c r="A37" s="153" t="s">
        <v>216</v>
      </c>
      <c r="B37" s="70"/>
      <c r="C37" s="154">
        <f>C33+C35+C36</f>
        <v>23635.271607120001</v>
      </c>
      <c r="D37" s="154">
        <f>D33+D35+D36</f>
        <v>26150.785125867602</v>
      </c>
      <c r="E37" s="154">
        <f>E33+E35+E36</f>
        <v>28710.167912825029</v>
      </c>
      <c r="F37" s="154">
        <f>F33+F35+F36</f>
        <v>31335.552680479279</v>
      </c>
      <c r="G37" s="154">
        <f>G33+G35+G36</f>
        <v>34044.483931092516</v>
      </c>
    </row>
    <row r="39" spans="1:7" ht="16.2" customHeight="1" x14ac:dyDescent="0.3">
      <c r="A39" s="172" t="s">
        <v>113</v>
      </c>
      <c r="B39" s="173"/>
      <c r="C39" s="173"/>
      <c r="D39" s="173"/>
      <c r="E39" s="173"/>
      <c r="F39" s="173"/>
      <c r="G39" s="173"/>
    </row>
    <row r="40" spans="1:7" ht="28.2" customHeight="1" x14ac:dyDescent="0.3">
      <c r="A40" s="44" t="s">
        <v>2</v>
      </c>
      <c r="B40" s="44"/>
      <c r="C40" s="44" t="s">
        <v>103</v>
      </c>
      <c r="D40" s="44" t="s">
        <v>104</v>
      </c>
      <c r="E40" s="44" t="s">
        <v>105</v>
      </c>
      <c r="F40" s="44" t="s">
        <v>106</v>
      </c>
      <c r="G40" s="44" t="s">
        <v>107</v>
      </c>
    </row>
    <row r="41" spans="1:7" x14ac:dyDescent="0.3">
      <c r="A41" s="68" t="s">
        <v>114</v>
      </c>
      <c r="B41" s="70"/>
      <c r="C41" s="80">
        <f>1/(1+'Supuestos FCL'!$B$43)^1</f>
        <v>0.93941964533150712</v>
      </c>
      <c r="D41" s="80">
        <f>1/(1+'Supuestos FCL'!$B$43)^2</f>
        <v>0.88250927003477475</v>
      </c>
      <c r="E41" s="80">
        <f>1/(1+'Supuestos FCL'!$B$43)^3</f>
        <v>0.82904654545783529</v>
      </c>
      <c r="F41" s="80">
        <f>1/(1+'Supuestos FCL'!$B$43)^4</f>
        <v>0.77882261169731093</v>
      </c>
      <c r="G41" s="80">
        <f>1/(1+'Supuestos FCL'!$B$43)^5</f>
        <v>0.73164126165684595</v>
      </c>
    </row>
    <row r="42" spans="1:7" x14ac:dyDescent="0.3">
      <c r="A42" s="68" t="s">
        <v>115</v>
      </c>
      <c r="B42" s="70"/>
      <c r="C42" s="69">
        <f>C37*C41</f>
        <v>22203.438470474513</v>
      </c>
      <c r="D42" s="69">
        <f>D37*D41</f>
        <v>23078.310292265662</v>
      </c>
      <c r="E42" s="69">
        <f>E37*E41</f>
        <v>23802.065527641978</v>
      </c>
      <c r="F42" s="69">
        <f>F37*F41</f>
        <v>24404.836977589544</v>
      </c>
      <c r="G42" s="69">
        <f>G37*G41</f>
        <v>24908.349175800748</v>
      </c>
    </row>
    <row r="44" spans="1:7" x14ac:dyDescent="0.3">
      <c r="A44" s="2" t="s">
        <v>116</v>
      </c>
      <c r="B44" s="19">
        <f>G37*(1+'Supuestos FCL'!$B$45)/('Supuestos FCL'!$B$43-'Supuestos FCL'!$B$45)</f>
        <v>1016783.6706302458</v>
      </c>
    </row>
    <row r="45" spans="1:7" x14ac:dyDescent="0.3">
      <c r="A45" s="2" t="s">
        <v>117</v>
      </c>
      <c r="B45" s="7">
        <f>B44*G41</f>
        <v>743920.88761199196</v>
      </c>
    </row>
    <row r="47" spans="1:7" x14ac:dyDescent="0.3">
      <c r="A47" s="17" t="s">
        <v>118</v>
      </c>
      <c r="B47" s="18">
        <f>SUM(C42:G42)+B45</f>
        <v>862317.88805576437</v>
      </c>
    </row>
    <row r="48" spans="1:7" x14ac:dyDescent="0.3">
      <c r="A48" s="2" t="s">
        <v>119</v>
      </c>
      <c r="B48" s="19">
        <f>-'Supuestos FCL'!$B$27</f>
        <v>-8920</v>
      </c>
    </row>
    <row r="49" spans="1:7" x14ac:dyDescent="0.3">
      <c r="A49" s="17" t="s">
        <v>120</v>
      </c>
      <c r="B49" s="18">
        <f>B47+B48</f>
        <v>853397.88805576437</v>
      </c>
    </row>
    <row r="50" spans="1:7" x14ac:dyDescent="0.3">
      <c r="A50" s="2" t="s">
        <v>41</v>
      </c>
      <c r="B50" s="21">
        <f>'Supuestos FCL'!$B$28</f>
        <v>1966</v>
      </c>
    </row>
    <row r="51" spans="1:7" x14ac:dyDescent="0.3">
      <c r="A51" s="17" t="s">
        <v>121</v>
      </c>
      <c r="B51" s="22">
        <f>B49/B50</f>
        <v>434.07827469774384</v>
      </c>
    </row>
    <row r="52" spans="1:7" x14ac:dyDescent="0.3">
      <c r="A52" s="2" t="s">
        <v>122</v>
      </c>
      <c r="B52" s="23">
        <f>'Supuestos FCL'!$B$29</f>
        <v>223.6465</v>
      </c>
    </row>
    <row r="53" spans="1:7" x14ac:dyDescent="0.3">
      <c r="A53" s="2" t="s">
        <v>123</v>
      </c>
      <c r="B53" s="6">
        <f>B51/B52-1</f>
        <v>0.94091244306413846</v>
      </c>
    </row>
    <row r="55" spans="1:7" ht="31.95" customHeight="1" x14ac:dyDescent="0.3">
      <c r="A55" s="183"/>
      <c r="B55" s="171"/>
      <c r="C55" s="171"/>
      <c r="D55" s="171"/>
      <c r="E55" s="171"/>
      <c r="F55" s="171"/>
      <c r="G55" s="171"/>
    </row>
    <row r="57" spans="1:7" ht="16.2" customHeight="1" x14ac:dyDescent="0.3">
      <c r="A57" s="172" t="s">
        <v>124</v>
      </c>
      <c r="B57" s="173"/>
      <c r="C57" s="173"/>
      <c r="D57" s="173"/>
      <c r="E57" s="173"/>
      <c r="F57" s="173"/>
      <c r="G57" s="173"/>
    </row>
    <row r="58" spans="1:7" x14ac:dyDescent="0.3">
      <c r="A58" s="24" t="s">
        <v>125</v>
      </c>
      <c r="B58" s="25">
        <v>2.5000000000000001E-2</v>
      </c>
      <c r="C58" s="25">
        <v>0.03</v>
      </c>
      <c r="D58" s="25">
        <v>3.5000000000000003E-2</v>
      </c>
    </row>
    <row r="59" spans="1:7" x14ac:dyDescent="0.3">
      <c r="A59" s="2" t="s">
        <v>126</v>
      </c>
      <c r="B59" s="23">
        <f>(SUMPRODUCT($C$37:$G$37,1/(1+'Supuestos FCL'!$B$43)^{1,2,3,4,5})+$G$37*(1+0.025)/('Supuestos FCL'!$B$43-0.025)/(1+'Supuestos FCL'!$B$43)^5-'Supuestos FCL'!$B$27)/'Supuestos FCL'!$B$28</f>
        <v>384.5603720940673</v>
      </c>
      <c r="C59" s="23">
        <f>(SUMPRODUCT($C$37:$G$37,1/(1+'Supuestos FCL'!$B$43)^{1,2,3,4,5})+$G$37*(1+0.03)/('Supuestos FCL'!$B$43-0.03)/(1+'Supuestos FCL'!$B$43)^5-'Supuestos FCL'!$B$27)/'Supuestos FCL'!$B$28</f>
        <v>434.07827469774384</v>
      </c>
      <c r="D59" s="23">
        <f>(SUMPRODUCT($C$37:$G$37,1/(1+'Supuestos FCL'!$B$43)^{1,2,3,4,5})+$G$37*(1+0.035)/('Supuestos FCL'!$B$43-0.035)/(1+'Supuestos FCL'!$B$43)^5-'Supuestos FCL'!$B$27)/'Supuestos FCL'!$B$28</f>
        <v>500.38930735998065</v>
      </c>
    </row>
    <row r="60" spans="1:7" x14ac:dyDescent="0.3">
      <c r="A60" s="2" t="s">
        <v>127</v>
      </c>
      <c r="B60" s="23">
        <f>(SUMPRODUCT($C$37:$G$37,1/(1+'Supuestos FCL'!$B$44)^{1,2,3,4,5})+$G$37*(1+0.025)/('Supuestos FCL'!$B$44-0.025)/(1+'Supuestos FCL'!$B$44)^5-'Supuestos FCL'!$B$27)/'Supuestos FCL'!$B$28</f>
        <v>303.21574546198082</v>
      </c>
      <c r="C60" s="23">
        <f>(SUMPRODUCT($C$37:$G$37,1/(1+'Supuestos FCL'!$B$44)^{1,2,3,4,5})+$G$37*(1+0.03)/('Supuestos FCL'!$B$44-0.03)/(1+'Supuestos FCL'!$B$44)^5-'Supuestos FCL'!$B$27)/'Supuestos FCL'!$B$28</f>
        <v>332.46279528030038</v>
      </c>
      <c r="D60" s="23">
        <f>(SUMPRODUCT($C$37:$G$37,1/(1+'Supuestos FCL'!$B$44)^{1,2,3,4,5})+$G$37*(1+0.035)/('Supuestos FCL'!$B$44-0.035)/(1+'Supuestos FCL'!$B$44)^5-'Supuestos FCL'!$B$27)/'Supuestos FCL'!$B$28</f>
        <v>369.08113068430413</v>
      </c>
    </row>
    <row r="61" spans="1:7" x14ac:dyDescent="0.3">
      <c r="A61" s="20" t="s">
        <v>122</v>
      </c>
      <c r="B61" s="23">
        <f>'Supuestos FCL'!$B$29</f>
        <v>223.6465</v>
      </c>
    </row>
  </sheetData>
  <mergeCells count="7">
    <mergeCell ref="A1:G1"/>
    <mergeCell ref="A39:G39"/>
    <mergeCell ref="A57:G57"/>
    <mergeCell ref="A29:G29"/>
    <mergeCell ref="A20:G20"/>
    <mergeCell ref="A55:G55"/>
    <mergeCell ref="A3:B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2"/>
  <sheetViews>
    <sheetView showGridLines="0" workbookViewId="0">
      <pane ySplit="4" topLeftCell="A5" activePane="bottomLeft" state="frozen"/>
      <selection pane="bottomLeft" activeCell="B4" sqref="B4:B13"/>
    </sheetView>
  </sheetViews>
  <sheetFormatPr baseColWidth="10" defaultColWidth="8.88671875" defaultRowHeight="14.4" x14ac:dyDescent="0.3"/>
  <cols>
    <col min="1" max="1" width="56" customWidth="1"/>
    <col min="2" max="2" width="16" customWidth="1"/>
    <col min="3" max="3" width="62" customWidth="1"/>
  </cols>
  <sheetData>
    <row r="1" spans="1:6" ht="22.2" customHeight="1" x14ac:dyDescent="0.3">
      <c r="A1" s="170" t="s">
        <v>128</v>
      </c>
      <c r="B1" s="171"/>
      <c r="C1" s="171"/>
      <c r="D1" s="171"/>
      <c r="E1" s="171"/>
      <c r="F1" s="171"/>
    </row>
    <row r="3" spans="1:6" ht="16.2" customHeight="1" x14ac:dyDescent="0.3">
      <c r="A3" s="172" t="s">
        <v>129</v>
      </c>
      <c r="B3" s="173"/>
      <c r="C3" s="173"/>
    </row>
    <row r="4" spans="1:6" ht="28.2" customHeight="1" x14ac:dyDescent="0.3">
      <c r="A4" s="1" t="s">
        <v>2</v>
      </c>
      <c r="B4" s="1" t="s">
        <v>3</v>
      </c>
      <c r="C4" s="1" t="s">
        <v>4</v>
      </c>
    </row>
    <row r="5" spans="1:6" x14ac:dyDescent="0.3">
      <c r="A5" s="2" t="s">
        <v>14</v>
      </c>
      <c r="B5" s="5">
        <v>35926</v>
      </c>
      <c r="C5" s="4" t="s">
        <v>130</v>
      </c>
    </row>
    <row r="6" spans="1:6" x14ac:dyDescent="0.3">
      <c r="A6" s="2" t="s">
        <v>16</v>
      </c>
      <c r="B6" s="5">
        <v>40000</v>
      </c>
      <c r="C6" s="4" t="s">
        <v>130</v>
      </c>
    </row>
    <row r="7" spans="1:6" x14ac:dyDescent="0.3">
      <c r="A7" s="2" t="s">
        <v>131</v>
      </c>
      <c r="B7" s="5">
        <v>894</v>
      </c>
      <c r="C7" s="4" t="s">
        <v>132</v>
      </c>
    </row>
    <row r="8" spans="1:6" x14ac:dyDescent="0.3">
      <c r="A8" s="2" t="s">
        <v>133</v>
      </c>
      <c r="B8" s="5">
        <v>12298</v>
      </c>
      <c r="C8" s="4" t="s">
        <v>134</v>
      </c>
    </row>
    <row r="9" spans="1:6" x14ac:dyDescent="0.3">
      <c r="A9" s="2" t="s">
        <v>135</v>
      </c>
      <c r="B9" s="7">
        <f>$B$6-$B$7-$B$8</f>
        <v>26808</v>
      </c>
      <c r="C9" s="4" t="s">
        <v>136</v>
      </c>
    </row>
    <row r="10" spans="1:6" x14ac:dyDescent="0.3">
      <c r="A10" s="2" t="s">
        <v>137</v>
      </c>
      <c r="B10" s="5">
        <v>589</v>
      </c>
      <c r="C10" s="4" t="s">
        <v>138</v>
      </c>
    </row>
    <row r="11" spans="1:6" x14ac:dyDescent="0.3">
      <c r="A11" s="2" t="s">
        <v>35</v>
      </c>
      <c r="B11" s="8">
        <v>0.17095099999999999</v>
      </c>
      <c r="C11" s="4" t="s">
        <v>139</v>
      </c>
    </row>
    <row r="12" spans="1:6" x14ac:dyDescent="0.3">
      <c r="A12" s="2" t="s">
        <v>41</v>
      </c>
      <c r="B12" s="9">
        <v>1966</v>
      </c>
      <c r="C12" s="4" t="s">
        <v>140</v>
      </c>
    </row>
    <row r="13" spans="1:6" x14ac:dyDescent="0.3">
      <c r="A13" s="2" t="s">
        <v>43</v>
      </c>
      <c r="B13" s="10">
        <v>223.6465</v>
      </c>
      <c r="C13" s="4" t="s">
        <v>140</v>
      </c>
    </row>
    <row r="15" spans="1:6" ht="16.2" customHeight="1" x14ac:dyDescent="0.3">
      <c r="A15" s="172" t="s">
        <v>141</v>
      </c>
      <c r="B15" s="173"/>
      <c r="C15" s="173"/>
    </row>
    <row r="16" spans="1:6" ht="70.2" customHeight="1" x14ac:dyDescent="0.3">
      <c r="A16" s="174" t="s">
        <v>142</v>
      </c>
      <c r="B16" s="175"/>
      <c r="C16" s="175"/>
      <c r="D16" s="175"/>
      <c r="E16" s="175"/>
      <c r="F16" s="175"/>
    </row>
    <row r="18" spans="1:3" ht="16.2" customHeight="1" x14ac:dyDescent="0.3">
      <c r="A18" s="172" t="s">
        <v>143</v>
      </c>
      <c r="B18" s="173"/>
      <c r="C18" s="173"/>
    </row>
    <row r="19" spans="1:3" ht="28.2" customHeight="1" x14ac:dyDescent="0.3">
      <c r="A19" s="1" t="s">
        <v>2</v>
      </c>
      <c r="B19" s="1" t="s">
        <v>3</v>
      </c>
      <c r="C19" s="1" t="s">
        <v>4</v>
      </c>
    </row>
    <row r="20" spans="1:3" ht="27" x14ac:dyDescent="0.3">
      <c r="A20" s="2" t="s">
        <v>144</v>
      </c>
      <c r="B20" s="5">
        <v>5000</v>
      </c>
      <c r="C20" s="37" t="s">
        <v>145</v>
      </c>
    </row>
    <row r="21" spans="1:3" ht="27" x14ac:dyDescent="0.3">
      <c r="A21" s="2" t="s">
        <v>146</v>
      </c>
      <c r="B21" s="8">
        <v>0.05</v>
      </c>
      <c r="C21" s="37" t="s">
        <v>147</v>
      </c>
    </row>
    <row r="22" spans="1:3" ht="27" x14ac:dyDescent="0.3">
      <c r="A22" s="2" t="s">
        <v>148</v>
      </c>
      <c r="B22" s="23">
        <f>$B$13</f>
        <v>223.6465</v>
      </c>
      <c r="C22" s="37" t="s">
        <v>149</v>
      </c>
    </row>
  </sheetData>
  <mergeCells count="5">
    <mergeCell ref="A18:C18"/>
    <mergeCell ref="A1:F1"/>
    <mergeCell ref="A16:F16"/>
    <mergeCell ref="A3:C3"/>
    <mergeCell ref="A15:C1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2"/>
  <sheetViews>
    <sheetView showGridLines="0" tabSelected="1" workbookViewId="0">
      <selection activeCell="G28" sqref="G28"/>
    </sheetView>
  </sheetViews>
  <sheetFormatPr baseColWidth="10" defaultColWidth="8.88671875" defaultRowHeight="14.4" x14ac:dyDescent="0.3"/>
  <cols>
    <col min="1" max="1" width="55.109375" customWidth="1"/>
    <col min="2" max="4" width="16" customWidth="1"/>
  </cols>
  <sheetData>
    <row r="1" spans="1:4" ht="22.2" customHeight="1" x14ac:dyDescent="0.3">
      <c r="A1" s="170" t="s">
        <v>150</v>
      </c>
      <c r="B1" s="171"/>
      <c r="C1" s="171"/>
      <c r="D1" s="171"/>
    </row>
    <row r="3" spans="1:4" x14ac:dyDescent="0.3">
      <c r="A3" s="81" t="s">
        <v>129</v>
      </c>
      <c r="B3" s="82"/>
      <c r="C3" s="84"/>
    </row>
    <row r="4" spans="1:4" x14ac:dyDescent="0.3">
      <c r="A4" s="83" t="s">
        <v>2</v>
      </c>
      <c r="B4" s="83" t="s">
        <v>3</v>
      </c>
    </row>
    <row r="5" spans="1:4" x14ac:dyDescent="0.3">
      <c r="A5" s="68" t="s">
        <v>14</v>
      </c>
      <c r="B5" s="166">
        <f>+PyG!J3</f>
        <v>35926</v>
      </c>
    </row>
    <row r="6" spans="1:4" x14ac:dyDescent="0.3">
      <c r="A6" s="68" t="s">
        <v>16</v>
      </c>
      <c r="B6" s="166">
        <f>+PyG!K3</f>
        <v>40000</v>
      </c>
    </row>
    <row r="7" spans="1:4" x14ac:dyDescent="0.3">
      <c r="A7" s="68" t="s">
        <v>131</v>
      </c>
      <c r="B7" s="166">
        <f>+PyG!K5</f>
        <v>894</v>
      </c>
    </row>
    <row r="8" spans="1:4" x14ac:dyDescent="0.3">
      <c r="A8" s="68" t="s">
        <v>133</v>
      </c>
      <c r="B8" s="166">
        <f>+PyG!K9</f>
        <v>12298</v>
      </c>
    </row>
    <row r="9" spans="1:4" x14ac:dyDescent="0.3">
      <c r="A9" s="68" t="s">
        <v>135</v>
      </c>
      <c r="B9" s="166">
        <f>$B$6-$B$7-$B$8</f>
        <v>26808</v>
      </c>
    </row>
    <row r="10" spans="1:4" x14ac:dyDescent="0.3">
      <c r="A10" s="68" t="s">
        <v>137</v>
      </c>
      <c r="B10" s="166">
        <f>-PyG!K19</f>
        <v>589</v>
      </c>
    </row>
    <row r="11" spans="1:4" x14ac:dyDescent="0.3">
      <c r="A11" s="68" t="s">
        <v>35</v>
      </c>
      <c r="B11" s="167">
        <v>0.17095099999999999</v>
      </c>
    </row>
    <row r="12" spans="1:4" x14ac:dyDescent="0.3">
      <c r="A12" s="68" t="s">
        <v>41</v>
      </c>
      <c r="B12" s="168">
        <v>1966</v>
      </c>
    </row>
    <row r="13" spans="1:4" x14ac:dyDescent="0.3">
      <c r="A13" s="68" t="s">
        <v>43</v>
      </c>
      <c r="B13" s="166">
        <v>223.6465</v>
      </c>
    </row>
    <row r="15" spans="1:4" ht="16.2" customHeight="1" x14ac:dyDescent="0.3">
      <c r="A15" s="81" t="s">
        <v>337</v>
      </c>
      <c r="B15" s="82"/>
      <c r="C15" s="84"/>
      <c r="D15" s="84"/>
    </row>
    <row r="16" spans="1:4" ht="28.2" customHeight="1" x14ac:dyDescent="0.3">
      <c r="A16" s="44" t="s">
        <v>2</v>
      </c>
      <c r="B16" s="169" t="s">
        <v>3</v>
      </c>
      <c r="C16" s="83"/>
      <c r="D16" s="83"/>
    </row>
    <row r="17" spans="1:4" x14ac:dyDescent="0.3">
      <c r="A17" s="68" t="s">
        <v>151</v>
      </c>
      <c r="B17" s="166">
        <f>+B6</f>
        <v>40000</v>
      </c>
    </row>
    <row r="18" spans="1:4" x14ac:dyDescent="0.3">
      <c r="A18" s="68" t="s">
        <v>152</v>
      </c>
      <c r="B18" s="166">
        <f>+B7</f>
        <v>894</v>
      </c>
    </row>
    <row r="19" spans="1:4" x14ac:dyDescent="0.3">
      <c r="A19" s="68" t="s">
        <v>153</v>
      </c>
      <c r="B19" s="166">
        <f>+B8</f>
        <v>12298</v>
      </c>
    </row>
    <row r="20" spans="1:4" x14ac:dyDescent="0.3">
      <c r="A20" s="68" t="s">
        <v>154</v>
      </c>
      <c r="B20" s="166">
        <f>+B10</f>
        <v>589</v>
      </c>
    </row>
    <row r="21" spans="1:4" x14ac:dyDescent="0.3">
      <c r="A21" s="68" t="s">
        <v>35</v>
      </c>
      <c r="B21" s="160">
        <f>+B11</f>
        <v>0.17095099999999999</v>
      </c>
    </row>
    <row r="23" spans="1:4" ht="16.2" customHeight="1" x14ac:dyDescent="0.3">
      <c r="A23" s="81" t="s">
        <v>339</v>
      </c>
      <c r="B23" s="82"/>
      <c r="C23" s="84"/>
      <c r="D23" s="84"/>
    </row>
    <row r="24" spans="1:4" x14ac:dyDescent="0.3">
      <c r="A24" s="2" t="s">
        <v>155</v>
      </c>
      <c r="B24" s="7">
        <f>B17-B18</f>
        <v>39106</v>
      </c>
    </row>
    <row r="25" spans="1:4" x14ac:dyDescent="0.3">
      <c r="A25" s="2" t="s">
        <v>156</v>
      </c>
      <c r="B25" s="6">
        <f>B24/B17</f>
        <v>0.97765000000000002</v>
      </c>
    </row>
    <row r="26" spans="1:4" x14ac:dyDescent="0.3">
      <c r="A26" s="15" t="s">
        <v>338</v>
      </c>
      <c r="B26" s="16">
        <f>B24-B19</f>
        <v>26808</v>
      </c>
    </row>
    <row r="27" spans="1:4" x14ac:dyDescent="0.3">
      <c r="A27" s="17" t="s">
        <v>157</v>
      </c>
      <c r="B27" s="18">
        <f>B19/B25</f>
        <v>12579.143865391499</v>
      </c>
    </row>
    <row r="28" spans="1:4" x14ac:dyDescent="0.3">
      <c r="A28" s="20"/>
      <c r="B28" s="7">
        <f>B27-B27*(B18/B17)-B19</f>
        <v>0</v>
      </c>
    </row>
    <row r="30" spans="1:4" ht="16.2" customHeight="1" x14ac:dyDescent="0.3">
      <c r="A30" s="172" t="s">
        <v>158</v>
      </c>
      <c r="B30" s="173"/>
      <c r="C30" s="173"/>
      <c r="D30" s="173"/>
    </row>
    <row r="31" spans="1:4" x14ac:dyDescent="0.3">
      <c r="A31" s="17" t="s">
        <v>159</v>
      </c>
      <c r="B31" s="26">
        <f>B24/B26</f>
        <v>1.4587436586093703</v>
      </c>
    </row>
    <row r="32" spans="1:4" x14ac:dyDescent="0.3">
      <c r="A32" s="38" t="s">
        <v>160</v>
      </c>
    </row>
    <row r="34" spans="1:4" ht="16.2" customHeight="1" x14ac:dyDescent="0.3">
      <c r="A34" s="172" t="s">
        <v>161</v>
      </c>
      <c r="B34" s="173"/>
      <c r="C34" s="173"/>
      <c r="D34" s="173"/>
    </row>
    <row r="35" spans="1:4" ht="28.2" customHeight="1" x14ac:dyDescent="0.3">
      <c r="A35" s="1" t="s">
        <v>2</v>
      </c>
      <c r="B35" s="1" t="s">
        <v>162</v>
      </c>
      <c r="C35" s="1" t="s">
        <v>163</v>
      </c>
    </row>
    <row r="36" spans="1:4" x14ac:dyDescent="0.3">
      <c r="A36" s="2" t="s">
        <v>164</v>
      </c>
      <c r="B36" s="7">
        <f>B17</f>
        <v>40000</v>
      </c>
      <c r="C36" s="7">
        <f>B17*2</f>
        <v>80000</v>
      </c>
    </row>
    <row r="37" spans="1:4" x14ac:dyDescent="0.3">
      <c r="A37" s="2" t="s">
        <v>165</v>
      </c>
      <c r="B37" s="7">
        <f>B18</f>
        <v>894</v>
      </c>
      <c r="C37" s="7">
        <f>C36*(B18/B17)</f>
        <v>1787.9999999999998</v>
      </c>
    </row>
    <row r="38" spans="1:4" x14ac:dyDescent="0.3">
      <c r="A38" s="2" t="s">
        <v>166</v>
      </c>
      <c r="B38" s="7">
        <f>B19</f>
        <v>12298</v>
      </c>
      <c r="C38" s="7">
        <f>B19</f>
        <v>12298</v>
      </c>
    </row>
    <row r="39" spans="1:4" x14ac:dyDescent="0.3">
      <c r="A39" s="2" t="s">
        <v>167</v>
      </c>
      <c r="B39" s="7">
        <f>B36-B37-B38</f>
        <v>26808</v>
      </c>
      <c r="C39" s="7">
        <f>C36-C37-C38</f>
        <v>65914</v>
      </c>
    </row>
    <row r="40" spans="1:4" x14ac:dyDescent="0.3">
      <c r="A40" s="2" t="s">
        <v>168</v>
      </c>
      <c r="C40" s="6">
        <f>C36/B36-1</f>
        <v>1</v>
      </c>
    </row>
    <row r="41" spans="1:4" x14ac:dyDescent="0.3">
      <c r="A41" s="2" t="s">
        <v>169</v>
      </c>
      <c r="C41" s="6">
        <f>C39/B39-1</f>
        <v>1.4587436586093703</v>
      </c>
    </row>
    <row r="42" spans="1:4" x14ac:dyDescent="0.3">
      <c r="A42" s="15" t="s">
        <v>170</v>
      </c>
      <c r="C42" s="27">
        <f>C41/C40</f>
        <v>1.4587436586093703</v>
      </c>
    </row>
    <row r="44" spans="1:4" ht="16.2" customHeight="1" x14ac:dyDescent="0.3">
      <c r="A44" s="172" t="s">
        <v>171</v>
      </c>
      <c r="B44" s="173"/>
      <c r="C44" s="173"/>
      <c r="D44" s="173"/>
    </row>
    <row r="45" spans="1:4" x14ac:dyDescent="0.3">
      <c r="A45" s="2" t="s">
        <v>172</v>
      </c>
      <c r="B45" s="7">
        <f>B26</f>
        <v>26808</v>
      </c>
    </row>
    <row r="46" spans="1:4" x14ac:dyDescent="0.3">
      <c r="A46" s="2" t="s">
        <v>173</v>
      </c>
      <c r="B46" s="7">
        <f>-B20</f>
        <v>-589</v>
      </c>
    </row>
    <row r="47" spans="1:4" x14ac:dyDescent="0.3">
      <c r="A47" s="15" t="s">
        <v>174</v>
      </c>
      <c r="B47" s="16">
        <f>B26-B20</f>
        <v>26219</v>
      </c>
    </row>
    <row r="48" spans="1:4" x14ac:dyDescent="0.3">
      <c r="A48" s="17" t="s">
        <v>175</v>
      </c>
      <c r="B48" s="26">
        <f>B26/B47</f>
        <v>1.0224646248903466</v>
      </c>
    </row>
    <row r="49" spans="1:4" x14ac:dyDescent="0.3">
      <c r="A49" s="38" t="s">
        <v>176</v>
      </c>
    </row>
    <row r="51" spans="1:4" ht="16.2" customHeight="1" x14ac:dyDescent="0.3">
      <c r="A51" s="172" t="s">
        <v>177</v>
      </c>
      <c r="B51" s="173"/>
      <c r="C51" s="173"/>
      <c r="D51" s="173"/>
    </row>
    <row r="52" spans="1:4" x14ac:dyDescent="0.3">
      <c r="A52" s="17" t="s">
        <v>178</v>
      </c>
      <c r="B52" s="26">
        <f>B31*B48</f>
        <v>1.4915137877112017</v>
      </c>
    </row>
    <row r="53" spans="1:4" x14ac:dyDescent="0.3">
      <c r="A53" s="20"/>
    </row>
    <row r="55" spans="1:4" ht="16.2" customHeight="1" x14ac:dyDescent="0.3">
      <c r="A55" s="172" t="s">
        <v>179</v>
      </c>
      <c r="B55" s="173"/>
      <c r="C55" s="173"/>
      <c r="D55" s="173"/>
    </row>
    <row r="56" spans="1:4" ht="28.2" customHeight="1" x14ac:dyDescent="0.3">
      <c r="A56" s="1" t="s">
        <v>2</v>
      </c>
      <c r="B56" s="1" t="s">
        <v>74</v>
      </c>
      <c r="C56" s="1" t="s">
        <v>75</v>
      </c>
    </row>
    <row r="57" spans="1:4" x14ac:dyDescent="0.3">
      <c r="A57" s="2" t="s">
        <v>164</v>
      </c>
      <c r="B57" s="19">
        <f>'Supuestos Apalancamiento'!$B$5</f>
        <v>35926</v>
      </c>
      <c r="C57" s="7">
        <f>B17</f>
        <v>40000</v>
      </c>
    </row>
    <row r="58" spans="1:4" x14ac:dyDescent="0.3">
      <c r="A58" s="2" t="s">
        <v>180</v>
      </c>
      <c r="B58" s="5">
        <v>23996</v>
      </c>
      <c r="C58" s="7">
        <f>B26</f>
        <v>26808</v>
      </c>
    </row>
    <row r="59" spans="1:4" x14ac:dyDescent="0.3">
      <c r="A59" s="2" t="s">
        <v>181</v>
      </c>
      <c r="C59" s="6">
        <f>C57/B57-1</f>
        <v>0.11339976618604908</v>
      </c>
    </row>
    <row r="60" spans="1:4" x14ac:dyDescent="0.3">
      <c r="A60" s="2" t="s">
        <v>182</v>
      </c>
      <c r="C60" s="6">
        <f>C58/B58-1</f>
        <v>0.11718619769961669</v>
      </c>
    </row>
    <row r="61" spans="1:4" x14ac:dyDescent="0.3">
      <c r="A61" s="15" t="s">
        <v>183</v>
      </c>
      <c r="C61" s="27">
        <f>C60/C59</f>
        <v>1.0333901174659867</v>
      </c>
    </row>
    <row r="62" spans="1:4" ht="43.95" customHeight="1" x14ac:dyDescent="0.3">
      <c r="A62" s="174" t="s">
        <v>184</v>
      </c>
      <c r="B62" s="175"/>
      <c r="C62" s="175"/>
      <c r="D62" s="175"/>
    </row>
  </sheetData>
  <mergeCells count="7">
    <mergeCell ref="A1:D1"/>
    <mergeCell ref="A34:D34"/>
    <mergeCell ref="A51:D51"/>
    <mergeCell ref="A62:D62"/>
    <mergeCell ref="A30:D30"/>
    <mergeCell ref="A44:D44"/>
    <mergeCell ref="A55:D55"/>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9"/>
  <sheetViews>
    <sheetView showGridLines="0" zoomScale="94" workbookViewId="0">
      <pane ySplit="24" topLeftCell="A25" activePane="bottomLeft" state="frozen"/>
      <selection pane="bottomLeft" activeCell="F16" sqref="F16"/>
    </sheetView>
  </sheetViews>
  <sheetFormatPr baseColWidth="10" defaultColWidth="8.88671875" defaultRowHeight="14.4" x14ac:dyDescent="0.3"/>
  <cols>
    <col min="1" max="1" width="68.88671875" bestFit="1" customWidth="1"/>
    <col min="2" max="4" width="15" customWidth="1"/>
    <col min="5" max="5" width="4" customWidth="1"/>
    <col min="6" max="8" width="15" customWidth="1"/>
  </cols>
  <sheetData>
    <row r="1" spans="1:8" ht="22.2" customHeight="1" x14ac:dyDescent="0.3">
      <c r="A1" s="170" t="s">
        <v>185</v>
      </c>
      <c r="B1" s="171"/>
      <c r="C1" s="171"/>
      <c r="D1" s="171"/>
      <c r="E1" s="171"/>
      <c r="F1" s="171"/>
      <c r="G1" s="171"/>
      <c r="H1" s="171"/>
    </row>
    <row r="2" spans="1:8" ht="40.200000000000003" customHeight="1" x14ac:dyDescent="0.3">
      <c r="A2" s="174" t="s">
        <v>211</v>
      </c>
      <c r="B2" s="175"/>
      <c r="C2" s="175"/>
      <c r="D2" s="175"/>
      <c r="E2" s="175"/>
      <c r="F2" s="175"/>
      <c r="G2" s="175"/>
      <c r="H2" s="175"/>
    </row>
    <row r="4" spans="1:8" ht="16.2" customHeight="1" x14ac:dyDescent="0.3">
      <c r="A4" s="172" t="s">
        <v>186</v>
      </c>
      <c r="B4" s="173"/>
      <c r="C4" s="173"/>
      <c r="D4" s="173"/>
    </row>
    <row r="5" spans="1:8" ht="28.2" customHeight="1" x14ac:dyDescent="0.3">
      <c r="A5" s="1" t="s">
        <v>2</v>
      </c>
      <c r="B5" s="1" t="s">
        <v>3</v>
      </c>
      <c r="C5" s="1"/>
      <c r="D5" s="1"/>
    </row>
    <row r="6" spans="1:8" x14ac:dyDescent="0.3">
      <c r="A6" s="2" t="s">
        <v>144</v>
      </c>
      <c r="B6" s="19">
        <f>'Supuestos Apalancamiento'!$B$20</f>
        <v>5000</v>
      </c>
    </row>
    <row r="7" spans="1:8" x14ac:dyDescent="0.3">
      <c r="A7" s="2" t="s">
        <v>187</v>
      </c>
      <c r="B7" s="13">
        <f>'Supuestos Apalancamiento'!$B$21</f>
        <v>0.05</v>
      </c>
    </row>
    <row r="8" spans="1:8" x14ac:dyDescent="0.3">
      <c r="A8" s="2" t="s">
        <v>188</v>
      </c>
      <c r="B8" s="23">
        <f>'Supuestos Apalancamiento'!$B$22</f>
        <v>223.6465</v>
      </c>
    </row>
    <row r="9" spans="1:8" x14ac:dyDescent="0.3">
      <c r="A9" s="2" t="s">
        <v>189</v>
      </c>
      <c r="B9" s="21">
        <f>'Supuestos Apalancamiento'!$B$12</f>
        <v>1966</v>
      </c>
    </row>
    <row r="10" spans="1:8" x14ac:dyDescent="0.3">
      <c r="A10" s="2" t="s">
        <v>190</v>
      </c>
      <c r="B10" s="19">
        <f>'Supuestos Apalancamiento'!$B$10</f>
        <v>589</v>
      </c>
    </row>
    <row r="11" spans="1:8" x14ac:dyDescent="0.3">
      <c r="A11" s="2" t="s">
        <v>79</v>
      </c>
      <c r="B11" s="13">
        <f>'Supuestos Apalancamiento'!$B$11</f>
        <v>0.17095099999999999</v>
      </c>
    </row>
    <row r="12" spans="1:8" x14ac:dyDescent="0.3">
      <c r="A12" s="2" t="s">
        <v>191</v>
      </c>
      <c r="B12" s="7">
        <f>B6*B7</f>
        <v>250</v>
      </c>
    </row>
    <row r="13" spans="1:8" x14ac:dyDescent="0.3">
      <c r="A13" s="2" t="s">
        <v>192</v>
      </c>
      <c r="B13" s="28">
        <f>B6/B8</f>
        <v>22.356710254799427</v>
      </c>
    </row>
    <row r="14" spans="1:8" x14ac:dyDescent="0.3">
      <c r="A14" s="15" t="s">
        <v>193</v>
      </c>
      <c r="B14" s="29">
        <f>B9+B13</f>
        <v>1988.3567102547995</v>
      </c>
    </row>
    <row r="16" spans="1:8" ht="16.2" customHeight="1" x14ac:dyDescent="0.3">
      <c r="A16" s="172" t="s">
        <v>194</v>
      </c>
      <c r="B16" s="173"/>
      <c r="C16" s="173"/>
      <c r="D16" s="173"/>
    </row>
    <row r="17" spans="1:8" ht="30" customHeight="1" x14ac:dyDescent="0.3">
      <c r="A17" s="183"/>
      <c r="B17" s="171"/>
      <c r="C17" s="171"/>
      <c r="D17" s="171"/>
    </row>
    <row r="18" spans="1:8" x14ac:dyDescent="0.3">
      <c r="A18" s="17" t="s">
        <v>195</v>
      </c>
      <c r="B18" s="18">
        <f>B10+(B14*B12)/(B14-B9)</f>
        <v>22823.450949999919</v>
      </c>
    </row>
    <row r="19" spans="1:8" x14ac:dyDescent="0.3">
      <c r="A19" s="2" t="s">
        <v>196</v>
      </c>
      <c r="B19" s="30">
        <f>(B18-B10)*(1-B11)/B14</f>
        <v>9.2706953589249661</v>
      </c>
    </row>
    <row r="20" spans="1:8" x14ac:dyDescent="0.3">
      <c r="A20" s="2" t="s">
        <v>197</v>
      </c>
      <c r="B20" s="30">
        <f>(B18-B10-B12)*(1-B11)/B9</f>
        <v>9.2706953589249661</v>
      </c>
    </row>
    <row r="21" spans="1:8" x14ac:dyDescent="0.3">
      <c r="A21" s="20" t="s">
        <v>198</v>
      </c>
      <c r="B21" s="30">
        <f>B19-B20</f>
        <v>0</v>
      </c>
    </row>
    <row r="23" spans="1:8" ht="16.2" customHeight="1" x14ac:dyDescent="0.3">
      <c r="A23" s="172" t="s">
        <v>199</v>
      </c>
      <c r="B23" s="173"/>
      <c r="C23" s="173"/>
      <c r="D23" s="173"/>
      <c r="E23" s="173"/>
      <c r="F23" s="173"/>
      <c r="G23" s="173"/>
      <c r="H23" s="173"/>
    </row>
    <row r="24" spans="1:8" ht="28.2" customHeight="1" x14ac:dyDescent="0.3">
      <c r="A24" s="1" t="s">
        <v>200</v>
      </c>
      <c r="B24" s="1" t="s">
        <v>201</v>
      </c>
      <c r="C24" s="1" t="s">
        <v>202</v>
      </c>
      <c r="D24" s="1" t="s">
        <v>203</v>
      </c>
      <c r="E24" s="1"/>
      <c r="F24" s="1" t="s">
        <v>204</v>
      </c>
      <c r="G24" s="1" t="s">
        <v>205</v>
      </c>
      <c r="H24" s="1" t="s">
        <v>206</v>
      </c>
    </row>
    <row r="25" spans="1:8" x14ac:dyDescent="0.3">
      <c r="A25" s="5">
        <v>10000</v>
      </c>
      <c r="B25" s="7">
        <f t="shared" ref="B25:B33" si="0">A25-$B$10</f>
        <v>9411</v>
      </c>
      <c r="C25" s="7">
        <f t="shared" ref="C25:C33" si="1">B25*(1-$B$11)</f>
        <v>7802.1801390000001</v>
      </c>
      <c r="D25" s="30">
        <f t="shared" ref="D25:D33" si="2">C25/$B$14</f>
        <v>3.9239338186960344</v>
      </c>
      <c r="F25" s="7">
        <f t="shared" ref="F25:F33" si="3">A25-$B$10-$B$12</f>
        <v>9161</v>
      </c>
      <c r="G25" s="7">
        <f t="shared" ref="G25:G33" si="4">F25*(1-$B$11)</f>
        <v>7594.9178890000003</v>
      </c>
      <c r="H25" s="30">
        <f t="shared" ref="H25:H33" si="5">G25/$B$9</f>
        <v>3.8631321917599188</v>
      </c>
    </row>
    <row r="26" spans="1:8" x14ac:dyDescent="0.3">
      <c r="A26" s="5">
        <v>15000</v>
      </c>
      <c r="B26" s="7">
        <f t="shared" si="0"/>
        <v>14411</v>
      </c>
      <c r="C26" s="7">
        <f t="shared" si="1"/>
        <v>11947.425139000001</v>
      </c>
      <c r="D26" s="30">
        <f t="shared" si="2"/>
        <v>6.0086930465655675</v>
      </c>
      <c r="F26" s="7">
        <f t="shared" si="3"/>
        <v>14161</v>
      </c>
      <c r="G26" s="7">
        <f t="shared" si="4"/>
        <v>11740.162889000001</v>
      </c>
      <c r="H26" s="30">
        <f t="shared" si="5"/>
        <v>5.9715986210579866</v>
      </c>
    </row>
    <row r="27" spans="1:8" x14ac:dyDescent="0.3">
      <c r="A27" s="5">
        <v>20000</v>
      </c>
      <c r="B27" s="7">
        <f t="shared" si="0"/>
        <v>19411</v>
      </c>
      <c r="C27" s="7">
        <f t="shared" si="1"/>
        <v>16092.670139</v>
      </c>
      <c r="D27" s="30">
        <f t="shared" si="2"/>
        <v>8.0934522744350996</v>
      </c>
      <c r="F27" s="7">
        <f t="shared" si="3"/>
        <v>19161</v>
      </c>
      <c r="G27" s="7">
        <f t="shared" si="4"/>
        <v>15885.407889</v>
      </c>
      <c r="H27" s="30">
        <f t="shared" si="5"/>
        <v>8.0800650503560529</v>
      </c>
    </row>
    <row r="28" spans="1:8" x14ac:dyDescent="0.3">
      <c r="A28" s="5">
        <v>25000</v>
      </c>
      <c r="B28" s="7">
        <f t="shared" si="0"/>
        <v>24411</v>
      </c>
      <c r="C28" s="7">
        <f t="shared" si="1"/>
        <v>20237.915139000001</v>
      </c>
      <c r="D28" s="30">
        <f t="shared" si="2"/>
        <v>10.178211502304633</v>
      </c>
      <c r="F28" s="7">
        <f t="shared" si="3"/>
        <v>24161</v>
      </c>
      <c r="G28" s="7">
        <f t="shared" si="4"/>
        <v>20030.652889000001</v>
      </c>
      <c r="H28" s="30">
        <f t="shared" si="5"/>
        <v>10.18853147965412</v>
      </c>
    </row>
    <row r="29" spans="1:8" x14ac:dyDescent="0.3">
      <c r="A29" s="31">
        <v>26808</v>
      </c>
      <c r="B29" s="32">
        <f t="shared" si="0"/>
        <v>26219</v>
      </c>
      <c r="C29" s="32">
        <f t="shared" si="1"/>
        <v>21736.835730999999</v>
      </c>
      <c r="D29" s="33">
        <f t="shared" si="2"/>
        <v>10.932060439102255</v>
      </c>
      <c r="E29" s="34"/>
      <c r="F29" s="32">
        <f t="shared" si="3"/>
        <v>25969</v>
      </c>
      <c r="G29" s="32">
        <f t="shared" si="4"/>
        <v>21529.573480999999</v>
      </c>
      <c r="H29" s="33">
        <f t="shared" si="5"/>
        <v>10.950952940488301</v>
      </c>
    </row>
    <row r="30" spans="1:8" x14ac:dyDescent="0.3">
      <c r="A30" s="5">
        <v>30000</v>
      </c>
      <c r="B30" s="7">
        <f t="shared" si="0"/>
        <v>29411</v>
      </c>
      <c r="C30" s="7">
        <f t="shared" si="1"/>
        <v>24383.160139</v>
      </c>
      <c r="D30" s="30">
        <f t="shared" si="2"/>
        <v>12.262970730174166</v>
      </c>
      <c r="F30" s="7">
        <f t="shared" si="3"/>
        <v>29161</v>
      </c>
      <c r="G30" s="7">
        <f t="shared" si="4"/>
        <v>24175.897889</v>
      </c>
      <c r="H30" s="30">
        <f t="shared" si="5"/>
        <v>12.296997908952187</v>
      </c>
    </row>
    <row r="31" spans="1:8" x14ac:dyDescent="0.3">
      <c r="A31" s="5">
        <v>35000</v>
      </c>
      <c r="B31" s="7">
        <f t="shared" si="0"/>
        <v>34411</v>
      </c>
      <c r="C31" s="7">
        <f t="shared" si="1"/>
        <v>28528.405139000002</v>
      </c>
      <c r="D31" s="30">
        <f t="shared" si="2"/>
        <v>14.347729958043699</v>
      </c>
      <c r="F31" s="7">
        <f t="shared" si="3"/>
        <v>34161</v>
      </c>
      <c r="G31" s="7">
        <f t="shared" si="4"/>
        <v>28321.142889000002</v>
      </c>
      <c r="H31" s="30">
        <f t="shared" si="5"/>
        <v>14.405464338250255</v>
      </c>
    </row>
    <row r="32" spans="1:8" x14ac:dyDescent="0.3">
      <c r="A32" s="5">
        <v>40000</v>
      </c>
      <c r="B32" s="7">
        <f t="shared" si="0"/>
        <v>39411</v>
      </c>
      <c r="C32" s="7">
        <f t="shared" si="1"/>
        <v>32673.650139000001</v>
      </c>
      <c r="D32" s="30">
        <f t="shared" si="2"/>
        <v>16.43248918591323</v>
      </c>
      <c r="F32" s="7">
        <f t="shared" si="3"/>
        <v>39161</v>
      </c>
      <c r="G32" s="7">
        <f t="shared" si="4"/>
        <v>32466.387889000001</v>
      </c>
      <c r="H32" s="30">
        <f t="shared" si="5"/>
        <v>16.513930767548324</v>
      </c>
    </row>
    <row r="33" spans="1:8" x14ac:dyDescent="0.3">
      <c r="A33" s="5">
        <v>45000</v>
      </c>
      <c r="B33" s="7">
        <f t="shared" si="0"/>
        <v>44411</v>
      </c>
      <c r="C33" s="7">
        <f t="shared" si="1"/>
        <v>36818.895139</v>
      </c>
      <c r="D33" s="30">
        <f t="shared" si="2"/>
        <v>18.517248413782763</v>
      </c>
      <c r="F33" s="7">
        <f t="shared" si="3"/>
        <v>44161</v>
      </c>
      <c r="G33" s="7">
        <f t="shared" si="4"/>
        <v>36611.632889</v>
      </c>
      <c r="H33" s="30">
        <f t="shared" si="5"/>
        <v>18.622397196846389</v>
      </c>
    </row>
    <row r="35" spans="1:8" x14ac:dyDescent="0.3">
      <c r="A35" s="174" t="s">
        <v>207</v>
      </c>
      <c r="B35" s="175"/>
      <c r="C35" s="175"/>
      <c r="D35" s="175"/>
      <c r="E35" s="175"/>
      <c r="F35" s="175"/>
      <c r="G35" s="175"/>
      <c r="H35" s="175"/>
    </row>
    <row r="37" spans="1:8" ht="16.2" customHeight="1" x14ac:dyDescent="0.3">
      <c r="A37" s="172" t="s">
        <v>208</v>
      </c>
      <c r="B37" s="173"/>
      <c r="C37" s="173"/>
      <c r="D37" s="173"/>
      <c r="E37" s="173"/>
      <c r="F37" s="173"/>
      <c r="G37" s="173"/>
      <c r="H37" s="173"/>
    </row>
    <row r="38" spans="1:8" x14ac:dyDescent="0.3">
      <c r="A38" s="2" t="s">
        <v>209</v>
      </c>
      <c r="B38" s="186" t="str">
        <f>IF('Apalancamiento GAO-GAF'!B26&gt;B18,"EBIT real &gt; EBIT* -&gt; conviene financiar con DEUDA","EBIT real &lt; EBIT* -&gt; conviene financiar con ACCIONES")</f>
        <v>EBIT real &gt; EBIT* -&gt; conviene financiar con DEUDA</v>
      </c>
      <c r="C38" s="187"/>
      <c r="D38" s="187"/>
      <c r="E38" s="187"/>
      <c r="F38" s="187"/>
      <c r="G38" s="187"/>
      <c r="H38" s="188"/>
    </row>
    <row r="39" spans="1:8" ht="90" customHeight="1" x14ac:dyDescent="0.3">
      <c r="A39" s="174" t="s">
        <v>210</v>
      </c>
      <c r="B39" s="175"/>
      <c r="C39" s="175"/>
      <c r="D39" s="175"/>
      <c r="E39" s="175"/>
      <c r="F39" s="175"/>
      <c r="G39" s="175"/>
      <c r="H39" s="175"/>
    </row>
  </sheetData>
  <mergeCells count="10">
    <mergeCell ref="A1:H1"/>
    <mergeCell ref="A23:H23"/>
    <mergeCell ref="A37:H37"/>
    <mergeCell ref="A17:D17"/>
    <mergeCell ref="A39:H39"/>
    <mergeCell ref="A35:H35"/>
    <mergeCell ref="A4:D4"/>
    <mergeCell ref="A2:H2"/>
    <mergeCell ref="B38:H38"/>
    <mergeCell ref="A16:D1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Balance</vt:lpstr>
      <vt:lpstr>PyG</vt:lpstr>
      <vt:lpstr>Supuestos FCL</vt:lpstr>
      <vt:lpstr>FCL Histórico</vt:lpstr>
      <vt:lpstr>FCL Proyectado</vt:lpstr>
      <vt:lpstr>Supuestos Apalancamiento</vt:lpstr>
      <vt:lpstr>Apalancamiento GAO-GAF</vt:lpstr>
      <vt:lpstr>UPA Deuda vs Patrimonio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Peñaranda</dc:creator>
  <cp:lastModifiedBy>LUIS DAVID PEÑARANDA PEREZ</cp:lastModifiedBy>
  <dcterms:created xsi:type="dcterms:W3CDTF">2026-09-15T02:24:19Z</dcterms:created>
  <dcterms:modified xsi:type="dcterms:W3CDTF">2026-09-18T23:20:46Z</dcterms:modified>
</cp:coreProperties>
</file>